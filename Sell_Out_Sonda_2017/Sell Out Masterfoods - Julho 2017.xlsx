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tineu\Documents\MARS\SONDA\2017\"/>
    </mc:Choice>
  </mc:AlternateContent>
  <bookViews>
    <workbookView xWindow="0" yWindow="0" windowWidth="23040" windowHeight="9408" activeTab="1"/>
  </bookViews>
  <sheets>
    <sheet name="Plan1" sheetId="1" r:id="rId1"/>
    <sheet name="DOH" sheetId="2" r:id="rId2"/>
    <sheet name="Plan3" sheetId="3" r:id="rId3"/>
  </sheets>
  <calcPr calcId="152511" calcOnSave="0" concurrentManualCount="4"/>
</workbook>
</file>

<file path=xl/calcChain.xml><?xml version="1.0" encoding="utf-8"?>
<calcChain xmlns="http://schemas.openxmlformats.org/spreadsheetml/2006/main">
  <c r="N3" i="2" l="1"/>
  <c r="N4" i="2"/>
  <c r="N5" i="2"/>
  <c r="N6" i="2"/>
  <c r="N7" i="2"/>
  <c r="N8" i="2"/>
  <c r="N10" i="2"/>
  <c r="N11" i="2"/>
  <c r="N12" i="2"/>
  <c r="N13" i="2"/>
  <c r="N14" i="2"/>
  <c r="N15" i="2"/>
  <c r="N16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2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3" i="2"/>
  <c r="L4" i="2"/>
  <c r="L2" i="2"/>
  <c r="I50" i="2"/>
  <c r="I48" i="2"/>
  <c r="I47" i="2"/>
  <c r="I46" i="2"/>
  <c r="I45" i="2"/>
  <c r="I44" i="2"/>
  <c r="I42" i="2"/>
  <c r="I41" i="2"/>
  <c r="I39" i="2"/>
  <c r="I38" i="2"/>
  <c r="I37" i="2"/>
  <c r="I36" i="2"/>
  <c r="I35" i="2"/>
  <c r="I34" i="2"/>
  <c r="I33" i="2"/>
  <c r="I32" i="2"/>
  <c r="I31" i="2"/>
  <c r="I28" i="2"/>
  <c r="I26" i="2"/>
  <c r="I25" i="2"/>
  <c r="I24" i="2"/>
  <c r="I23" i="2"/>
  <c r="I22" i="2"/>
  <c r="I4" i="2"/>
  <c r="I3" i="2"/>
  <c r="I2" i="2"/>
  <c r="F21" i="2"/>
  <c r="F20" i="2"/>
  <c r="I6" i="2" l="1"/>
  <c r="I7" i="2"/>
  <c r="I8" i="2"/>
  <c r="I10" i="2"/>
  <c r="I11" i="2"/>
  <c r="I12" i="2"/>
  <c r="I13" i="2"/>
  <c r="I14" i="2"/>
  <c r="I15" i="2"/>
  <c r="I16" i="2"/>
  <c r="I19" i="2"/>
  <c r="I20" i="2"/>
  <c r="I21" i="2"/>
  <c r="I30" i="2"/>
  <c r="I43" i="2"/>
  <c r="I49" i="2"/>
  <c r="I5" i="2"/>
  <c r="F36" i="2"/>
  <c r="I29" i="2"/>
  <c r="I27" i="2"/>
  <c r="AZ16" i="1" l="1"/>
  <c r="AZ12" i="1"/>
  <c r="AZ14" i="1"/>
</calcChain>
</file>

<file path=xl/sharedStrings.xml><?xml version="1.0" encoding="utf-8"?>
<sst xmlns="http://schemas.openxmlformats.org/spreadsheetml/2006/main" count="571" uniqueCount="162">
  <si>
    <t>Comprador</t>
  </si>
  <si>
    <t>Fornecedor</t>
  </si>
  <si>
    <t>Divisao</t>
  </si>
  <si>
    <t>Grupo</t>
  </si>
  <si>
    <t>Depto</t>
  </si>
  <si>
    <t>Seção</t>
  </si>
  <si>
    <t>SKU</t>
  </si>
  <si>
    <t>EAN</t>
  </si>
  <si>
    <t>Descricao</t>
  </si>
  <si>
    <t>Situação</t>
  </si>
  <si>
    <t>Qtde Venda MAI 2016 Jaçanã</t>
  </si>
  <si>
    <t>Qtde Venda MAI 2016 Boavista Shop.</t>
  </si>
  <si>
    <t>Qtde Venda MAI 2016 Itaim Paulista</t>
  </si>
  <si>
    <t>Qtde Venda MAI 2016 Itaberaba</t>
  </si>
  <si>
    <t>Qtde Venda MAI 2016 Tremembe</t>
  </si>
  <si>
    <t>Qtde Venda MAI 2016 Vila Rio</t>
  </si>
  <si>
    <t>Qtde Venda MAI 2016 Cidade Dutra</t>
  </si>
  <si>
    <t>Qtde Venda MAI 2016 Mooca</t>
  </si>
  <si>
    <t>Qtde Venda MAI 2016 Vila Sao Jose</t>
  </si>
  <si>
    <t>Qtde Venda MAI 2016 Agua Branca</t>
  </si>
  <si>
    <t>Qtde Venda MAI 2016 Tatuape</t>
  </si>
  <si>
    <t>Qtde Venda MAI 2016 SBernardo Campo</t>
  </si>
  <si>
    <t>Qtde Venda MAI 2016 Penha</t>
  </si>
  <si>
    <t>Qtde Venda MAI 2016 Maria Candida</t>
  </si>
  <si>
    <t>Qtde Venda MAI 2016 Pompéia</t>
  </si>
  <si>
    <t>Qtde Venda MAI 2016 Piedade</t>
  </si>
  <si>
    <t>Qtde Venda MAI 2016 Cobal Carapicui</t>
  </si>
  <si>
    <t>Qtde Venda MAI 2016 Edgar Faco</t>
  </si>
  <si>
    <t>Qtde Venda MAI 2016 Vila Carrão</t>
  </si>
  <si>
    <t>Qtde Venda MAI 2016 Cobal Penha</t>
  </si>
  <si>
    <t>Qtde Venda MAI 2016 Cobal Guarulhos</t>
  </si>
  <si>
    <t>Qtde Venda MAI 2016 Aruja</t>
  </si>
  <si>
    <t>Qtde Venda MAI 2016 Sao Jose Campos</t>
  </si>
  <si>
    <t>Qtde Venda MAI 2016 Vila Barros</t>
  </si>
  <si>
    <t>Qtde Venda MAI 2016 Cobal Carap.III</t>
  </si>
  <si>
    <t>Qtde Venda MAI 2016 Santo Andre</t>
  </si>
  <si>
    <t>Qtde Venda MAI 2016 Sonda Delivery</t>
  </si>
  <si>
    <t>Qtde Venda MAI 2016 Barueri</t>
  </si>
  <si>
    <t>Qtde Venda MAI 2016 Sorocaba</t>
  </si>
  <si>
    <t>Qtde Venda MAI 2016 Cobal Cachoeir.</t>
  </si>
  <si>
    <t>Qtde Venda MAI 2016 Cobal Freguesia</t>
  </si>
  <si>
    <t>Qtde Venda MAI 2016 Taipas</t>
  </si>
  <si>
    <t>Qtde Venda MAI 2016 Cobal Carap.II</t>
  </si>
  <si>
    <t>Qtde Venda MAI 2016 São Vicente</t>
  </si>
  <si>
    <t>Qtde Venda MAI 2016 Cajamar</t>
  </si>
  <si>
    <t>Qtde Venda MAI 2016 Sonda Cabreuva</t>
  </si>
  <si>
    <t>Qtde Venda MAI 2016 Salto II</t>
  </si>
  <si>
    <t>Qtde Venda MAI 2016 Salto I</t>
  </si>
  <si>
    <t>Qtde Venda MAI 2016 Indaiatuba</t>
  </si>
  <si>
    <t>Qtde Venda MAI 2016 Cajamar II</t>
  </si>
  <si>
    <t xml:space="preserve">Total Qtde Venda MAI 2016  </t>
  </si>
  <si>
    <t>Aldo J.Pagliosa Jr.</t>
  </si>
  <si>
    <t>MASTERFOODS</t>
  </si>
  <si>
    <t>MERCEARIA</t>
  </si>
  <si>
    <t>Mercearia (1)</t>
  </si>
  <si>
    <t>Bomboniere (13)</t>
  </si>
  <si>
    <t>Bombom (8)</t>
  </si>
  <si>
    <t>Bomb.Twix Caram. 80 GR</t>
  </si>
  <si>
    <t>Mix</t>
  </si>
  <si>
    <t>Bombon.Div. (14)</t>
  </si>
  <si>
    <t>Bomb.Twix Triplo Choc. 40 GR</t>
  </si>
  <si>
    <t>Operante</t>
  </si>
  <si>
    <t>Bomb.Twix Triplo Choc. 80 GR</t>
  </si>
  <si>
    <t>Fora de Linha</t>
  </si>
  <si>
    <t>Choc.Div. (7)</t>
  </si>
  <si>
    <t>Choc.Milk Way Fun Size 6un. 95.3 GR</t>
  </si>
  <si>
    <t>Choc.Milky Way Bar 52.3 GR</t>
  </si>
  <si>
    <t>Choc.Snickers 2 Bars 93.3 GR</t>
  </si>
  <si>
    <t>Choc.Snickers 52.7 GR</t>
  </si>
  <si>
    <t>Choc.Snickers Amênd. 49.9 GR</t>
  </si>
  <si>
    <t>Choc.Snickers Fun Size 6un 96.4 GR</t>
  </si>
  <si>
    <t>Choc.Twix Caramelo 45 GR</t>
  </si>
  <si>
    <t>Confeito (10)</t>
  </si>
  <si>
    <t>Conf.M&amp;M's Amendoim 200 GR</t>
  </si>
  <si>
    <t>Conf.M&amp;M's Amendoim 49 GR</t>
  </si>
  <si>
    <t>Conf.M&amp;M's Choc.Leite 200 GR</t>
  </si>
  <si>
    <t>Conf.M&amp;M's Choc.Leite 52 GR</t>
  </si>
  <si>
    <t>Conf.M&amp;M's Minis Choc.ao Leite 30 GR</t>
  </si>
  <si>
    <t>SAZONAL/MERC.</t>
  </si>
  <si>
    <t>Conf.M&amp;M's Ovinhos Choc. 150 GR</t>
  </si>
  <si>
    <t>André da Silva</t>
  </si>
  <si>
    <t>MERC/MOLHO</t>
  </si>
  <si>
    <t>Sopas e Condimentos (3)</t>
  </si>
  <si>
    <t>Mol.p/Salad. (10)</t>
  </si>
  <si>
    <t>Mol.Masterf.Salada Balsâmico 234 GR</t>
  </si>
  <si>
    <t>Mol.Masterf.Salada Caesar 234 ML</t>
  </si>
  <si>
    <t>Mol.Masterf.Salada Ervas Finas 234 GR</t>
  </si>
  <si>
    <t>Mol.Masterf.Salada Iogurte 234 ML</t>
  </si>
  <si>
    <t>Mol.Masterf.Salada Italiano 234 ML</t>
  </si>
  <si>
    <t>Mol.Masterf.Salada Most/Mel 234 ML</t>
  </si>
  <si>
    <t>Mol.Masterf.Salada Mostarda 234 GR</t>
  </si>
  <si>
    <t>Mol.Masterf.Salada Parmesão 234 ML</t>
  </si>
  <si>
    <t>Mol.Masterf.Salada Rosé 234 ML</t>
  </si>
  <si>
    <t>Molho (11)</t>
  </si>
  <si>
    <t>Mol.Masterf.Desidr.Crem.4Qjo 36 GR</t>
  </si>
  <si>
    <t>Mol.Masterf.Desidr.Crem.Branco 34 GR</t>
  </si>
  <si>
    <t>Mol.Masterf.Desidr.Crem.Strog. 34 GR</t>
  </si>
  <si>
    <t>Mol.Masterf.p/Carnes Agridoce 340 GR</t>
  </si>
  <si>
    <t>Mol.Masterf.p/Carnes Barbecue 340 GR</t>
  </si>
  <si>
    <t>Mol.Masterf.p/Carnes Italiano 340 GR</t>
  </si>
  <si>
    <t>Mol.Masterf.p/Carnes Madeira 340 GR</t>
  </si>
  <si>
    <t>Mol.Masterf.p/Carnes Xadrez 340 GR</t>
  </si>
  <si>
    <t>Clari Pagnoncelli</t>
  </si>
  <si>
    <t>CEREAIS/MERC.</t>
  </si>
  <si>
    <t>Cereais (2)</t>
  </si>
  <si>
    <t>Arroz (3)</t>
  </si>
  <si>
    <t>Arroz Divers (3)</t>
  </si>
  <si>
    <t>Arroz Ráris 7 Cereais Integ. 1000 GR</t>
  </si>
  <si>
    <t>Arroz Ráris 7 Cereais Integ. 500 GR</t>
  </si>
  <si>
    <t>Arroz Ráris 7 Grãos Alho Poró 500 GR</t>
  </si>
  <si>
    <t>Arroz Ráris 7 Grãos Integ. 1000 GR</t>
  </si>
  <si>
    <t>Arroz Ráris 7 Grãos Integ. 500 GR</t>
  </si>
  <si>
    <t>Arroz Ráris 7 Grãos/Cen. 1000 GR</t>
  </si>
  <si>
    <t>Arroz Ráris 7 Grãos/Cen. 500 GR</t>
  </si>
  <si>
    <t>Arroz Ráris Integral Saquinho 1000 GR</t>
  </si>
  <si>
    <t>Cereais Diversos (6)</t>
  </si>
  <si>
    <t>Cer.Div. (8)</t>
  </si>
  <si>
    <t>Quinua Ráris em Grãos 200 GR</t>
  </si>
  <si>
    <t>Produtos Naturais (8)</t>
  </si>
  <si>
    <t>Div.Naturais (1)</t>
  </si>
  <si>
    <t>Arroz Ráris Integral 1000 GR</t>
  </si>
  <si>
    <t>Arroz Uncle Ben's Int. 1000 GR</t>
  </si>
  <si>
    <t>Arroz Uncle Ben's Int.Saq. 1000 GR</t>
  </si>
  <si>
    <t>Qntde CX</t>
  </si>
  <si>
    <t xml:space="preserve">Total Estoque CD  2017  </t>
  </si>
  <si>
    <t>Bala Skittles Fr.Verm. 61.5 GR</t>
  </si>
  <si>
    <t>Bala Skittles Orig. 61.5 GR</t>
  </si>
  <si>
    <t>Choc.Snickers Amend. 49.9 GR</t>
  </si>
  <si>
    <t>Choc.Snickers Crisper 40 GR</t>
  </si>
  <si>
    <t>Conf.M&amp;M s Amendoim 200 GR</t>
  </si>
  <si>
    <t>Conf.M&amp;M s Amendoim 49 GR</t>
  </si>
  <si>
    <t>Conf.M&amp;M s Choc.Leite 200 GR</t>
  </si>
  <si>
    <t>Conf.M&amp;M s Choc.Leite 52 GR</t>
  </si>
  <si>
    <t>Conf.M&amp;M s Minis Choc.ao Leite 30 GR</t>
  </si>
  <si>
    <t>Conf.M&amp;M s Ovinhos Choc. 150 GR</t>
  </si>
  <si>
    <t>Conf.M&amp;M s Ovinhos Choc. 45 GR</t>
  </si>
  <si>
    <t>Mol.Masterf.Sal.Cas. 234 GR</t>
  </si>
  <si>
    <t>Mol.Masterf.Sal.Limao 234 GR</t>
  </si>
  <si>
    <t>Mol.Masterf.Salada Parmesao 234 ML</t>
  </si>
  <si>
    <t>Mol.Masterf.Salada Rose 234 ML</t>
  </si>
  <si>
    <t>Arroz Raris 7 Cereais Integ. 1000 GR</t>
  </si>
  <si>
    <t>Arroz Raris 7 Cereais Integ. 500 GR</t>
  </si>
  <si>
    <t>Arroz Raris 7 Graos Alho Poro 500 GR</t>
  </si>
  <si>
    <t>Arroz Raris 7 Graos Int. 180 GR</t>
  </si>
  <si>
    <t>Arroz Raris 7 Graos Int+1M.Cr 536 GR</t>
  </si>
  <si>
    <t>Arroz Raris 7 Graos Integ. 1000 GR</t>
  </si>
  <si>
    <t>Arroz Raris 7 Graos Integ. 500 GR</t>
  </si>
  <si>
    <t>Arroz Raris 7 Graos/Cen. 1000 GR</t>
  </si>
  <si>
    <t>Arroz Raris 7 Graos/Cen. 500 GR</t>
  </si>
  <si>
    <t>Arroz Raris Integral Saquinho 1000 GR</t>
  </si>
  <si>
    <t>Arroz Uncle Ben s Saq.T.1 1000 GR</t>
  </si>
  <si>
    <t>Quinua Raris em Graos 200 GR</t>
  </si>
  <si>
    <t>Arroz Raris Integral 1000 GR</t>
  </si>
  <si>
    <t>Arroz Uncle Ben s Int. 1000 GR</t>
  </si>
  <si>
    <t>Arroz Uncle Ben s Int.Saq. 1000 GR</t>
  </si>
  <si>
    <t>MASTERFOODS (1902)</t>
  </si>
  <si>
    <t xml:space="preserve">Total Estoque lojas Julho  2017  </t>
  </si>
  <si>
    <t>SELL OUT JULHO ATE 18/07</t>
  </si>
  <si>
    <t>SELL OUT CX JULHO ATE 18/07</t>
  </si>
  <si>
    <t>DOH</t>
  </si>
  <si>
    <t>Total Estoque  CXS   /Julho 2017</t>
  </si>
  <si>
    <t>Venda Média 18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</si>
</sst>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6" formatCode="_-&quot;R$&quot;\ * #,##0_-;\-&quot;R$&quot;\ * #,##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textRotation="90"/>
    </xf>
    <xf numFmtId="0" fontId="0" fillId="0" borderId="0" xfId="0" applyFont="1" applyAlignment="1">
      <alignment textRotation="90"/>
    </xf>
    <xf numFmtId="1" fontId="0" fillId="0" borderId="0" xfId="0" applyNumberFormat="1"/>
    <xf numFmtId="43" fontId="0" fillId="0" borderId="0" xfId="1" applyFont="1"/>
    <xf numFmtId="166" fontId="0" fillId="0" borderId="0" xfId="2" applyNumberFormat="1" applyFont="1"/>
    <xf numFmtId="0" fontId="0" fillId="2" borderId="0" xfId="0" applyFill="1"/>
    <xf numFmtId="0" fontId="0" fillId="2" borderId="0" xfId="0" applyFill="1" applyAlignment="1">
      <alignment horizontal="center"/>
    </xf>
    <xf numFmtId="1" fontId="0" fillId="2" borderId="1" xfId="0" applyNumberFormat="1" applyFill="1" applyBorder="1" applyAlignment="1">
      <alignment horizontal="center"/>
    </xf>
    <xf numFmtId="0" fontId="2" fillId="3" borderId="1" xfId="0" applyFont="1" applyFill="1" applyBorder="1" applyAlignment="1">
      <alignment horizontal="center" textRotation="90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0" fillId="0" borderId="4" xfId="0" applyBorder="1"/>
    <xf numFmtId="0" fontId="0" fillId="0" borderId="5" xfId="0" applyBorder="1"/>
    <xf numFmtId="1" fontId="0" fillId="0" borderId="5" xfId="0" applyNumberFormat="1" applyBorder="1"/>
    <xf numFmtId="3" fontId="0" fillId="0" borderId="4" xfId="0" applyNumberFormat="1" applyFill="1" applyBorder="1" applyAlignment="1">
      <alignment horizontal="center"/>
    </xf>
    <xf numFmtId="3" fontId="0" fillId="0" borderId="5" xfId="0" applyNumberFormat="1" applyFill="1" applyBorder="1" applyAlignment="1">
      <alignment horizontal="center"/>
    </xf>
    <xf numFmtId="3" fontId="0" fillId="0" borderId="1" xfId="0" applyNumberForma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 textRotation="90"/>
    </xf>
    <xf numFmtId="0" fontId="2" fillId="3" borderId="6" xfId="0" applyFont="1" applyFill="1" applyBorder="1" applyAlignment="1">
      <alignment horizontal="center" textRotation="90"/>
    </xf>
    <xf numFmtId="1" fontId="0" fillId="2" borderId="6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 textRotation="90"/>
    </xf>
    <xf numFmtId="0" fontId="2" fillId="3" borderId="3" xfId="0" applyFont="1" applyFill="1" applyBorder="1" applyAlignment="1">
      <alignment horizontal="center" textRotation="90"/>
    </xf>
    <xf numFmtId="0" fontId="2" fillId="3" borderId="2" xfId="0" applyFont="1" applyFill="1" applyBorder="1" applyAlignment="1">
      <alignment horizontal="center" textRotation="90"/>
    </xf>
    <xf numFmtId="3" fontId="0" fillId="0" borderId="8" xfId="0" applyNumberFormat="1" applyFill="1" applyBorder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6"/>
  <sheetViews>
    <sheetView topLeftCell="J21" workbookViewId="0">
      <selection activeCell="AY1" sqref="AY1:AY46"/>
    </sheetView>
  </sheetViews>
  <sheetFormatPr defaultRowHeight="14.4" x14ac:dyDescent="0.3"/>
  <cols>
    <col min="1" max="1" width="16.6640625" bestFit="1" customWidth="1"/>
    <col min="2" max="2" width="14.44140625" bestFit="1" customWidth="1"/>
    <col min="3" max="3" width="15.88671875" bestFit="1" customWidth="1"/>
    <col min="4" max="4" width="12.6640625" bestFit="1" customWidth="1"/>
    <col min="5" max="5" width="23.33203125" bestFit="1" customWidth="1"/>
    <col min="6" max="6" width="16.44140625" bestFit="1" customWidth="1"/>
    <col min="7" max="7" width="8" bestFit="1" customWidth="1"/>
    <col min="8" max="8" width="14.109375" bestFit="1" customWidth="1"/>
    <col min="9" max="9" width="36.33203125" bestFit="1" customWidth="1"/>
    <col min="10" max="10" width="12.6640625" bestFit="1" customWidth="1"/>
    <col min="11" max="12" width="5" bestFit="1" customWidth="1"/>
    <col min="13" max="13" width="4" bestFit="1" customWidth="1"/>
    <col min="14" max="25" width="5" bestFit="1" customWidth="1"/>
    <col min="26" max="27" width="4" bestFit="1" customWidth="1"/>
    <col min="28" max="29" width="5" bestFit="1" customWidth="1"/>
    <col min="30" max="31" width="4" bestFit="1" customWidth="1"/>
    <col min="32" max="34" width="5" bestFit="1" customWidth="1"/>
    <col min="35" max="36" width="4" bestFit="1" customWidth="1"/>
    <col min="37" max="37" width="3.6640625" bestFit="1" customWidth="1"/>
    <col min="38" max="38" width="5" bestFit="1" customWidth="1"/>
    <col min="39" max="40" width="4" bestFit="1" customWidth="1"/>
    <col min="41" max="41" width="3.6640625" bestFit="1" customWidth="1"/>
    <col min="42" max="42" width="5" bestFit="1" customWidth="1"/>
    <col min="43" max="43" width="3.6640625" bestFit="1" customWidth="1"/>
    <col min="44" max="50" width="4" bestFit="1" customWidth="1"/>
    <col min="51" max="51" width="9.33203125" bestFit="1" customWidth="1"/>
    <col min="52" max="52" width="11.33203125" bestFit="1" customWidth="1"/>
  </cols>
  <sheetData>
    <row r="1" spans="1:52" ht="186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2" t="s">
        <v>50</v>
      </c>
    </row>
    <row r="2" spans="1:52" x14ac:dyDescent="0.3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1426630</v>
      </c>
      <c r="H2" s="3">
        <v>7896423451191</v>
      </c>
      <c r="I2" t="s">
        <v>57</v>
      </c>
      <c r="J2" t="s">
        <v>58</v>
      </c>
      <c r="K2">
        <v>142</v>
      </c>
      <c r="L2">
        <v>0</v>
      </c>
      <c r="M2">
        <v>0</v>
      </c>
      <c r="N2">
        <v>0</v>
      </c>
      <c r="O2">
        <v>60</v>
      </c>
      <c r="P2">
        <v>0</v>
      </c>
      <c r="Q2">
        <v>0</v>
      </c>
      <c r="R2">
        <v>25</v>
      </c>
      <c r="S2">
        <v>0</v>
      </c>
      <c r="T2">
        <v>141</v>
      </c>
      <c r="U2">
        <v>0</v>
      </c>
      <c r="V2">
        <v>0</v>
      </c>
      <c r="W2">
        <v>220</v>
      </c>
      <c r="X2">
        <v>0</v>
      </c>
      <c r="Y2">
        <v>0</v>
      </c>
      <c r="Z2">
        <v>22</v>
      </c>
      <c r="AA2">
        <v>0</v>
      </c>
      <c r="AB2">
        <v>111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29</v>
      </c>
      <c r="AN2">
        <v>0</v>
      </c>
      <c r="AO2">
        <v>29</v>
      </c>
      <c r="AP2">
        <v>0</v>
      </c>
      <c r="AQ2">
        <v>0</v>
      </c>
      <c r="AR2">
        <v>0</v>
      </c>
      <c r="AS2">
        <v>0</v>
      </c>
      <c r="AT2">
        <v>8</v>
      </c>
      <c r="AU2">
        <v>0</v>
      </c>
      <c r="AV2">
        <v>0</v>
      </c>
      <c r="AW2">
        <v>0</v>
      </c>
      <c r="AX2">
        <v>36</v>
      </c>
      <c r="AY2">
        <v>823</v>
      </c>
    </row>
    <row r="3" spans="1:52" x14ac:dyDescent="0.3">
      <c r="A3" t="s">
        <v>51</v>
      </c>
      <c r="B3" t="s">
        <v>52</v>
      </c>
      <c r="C3" t="s">
        <v>53</v>
      </c>
      <c r="D3" t="s">
        <v>54</v>
      </c>
      <c r="E3" t="s">
        <v>55</v>
      </c>
      <c r="F3" t="s">
        <v>59</v>
      </c>
      <c r="G3">
        <v>1489453</v>
      </c>
      <c r="H3" s="3">
        <v>7896423405491</v>
      </c>
      <c r="I3" t="s">
        <v>60</v>
      </c>
      <c r="J3" t="s">
        <v>61</v>
      </c>
      <c r="K3">
        <v>325</v>
      </c>
      <c r="L3">
        <v>450</v>
      </c>
      <c r="M3">
        <v>320</v>
      </c>
      <c r="N3">
        <v>269</v>
      </c>
      <c r="O3">
        <v>108</v>
      </c>
      <c r="P3">
        <v>448</v>
      </c>
      <c r="Q3">
        <v>425</v>
      </c>
      <c r="R3">
        <v>573</v>
      </c>
      <c r="S3">
        <v>256</v>
      </c>
      <c r="T3">
        <v>778</v>
      </c>
      <c r="U3">
        <v>512</v>
      </c>
      <c r="V3">
        <v>1435</v>
      </c>
      <c r="W3">
        <v>730</v>
      </c>
      <c r="X3">
        <v>149</v>
      </c>
      <c r="Y3">
        <v>407</v>
      </c>
      <c r="Z3">
        <v>46</v>
      </c>
      <c r="AA3">
        <v>137</v>
      </c>
      <c r="AB3">
        <v>145</v>
      </c>
      <c r="AC3">
        <v>242</v>
      </c>
      <c r="AD3">
        <v>156</v>
      </c>
      <c r="AE3">
        <v>108</v>
      </c>
      <c r="AF3">
        <v>178</v>
      </c>
      <c r="AG3">
        <v>288</v>
      </c>
      <c r="AH3">
        <v>403</v>
      </c>
      <c r="AI3">
        <v>54</v>
      </c>
      <c r="AJ3">
        <v>173</v>
      </c>
      <c r="AK3">
        <v>0</v>
      </c>
      <c r="AL3">
        <v>643</v>
      </c>
      <c r="AM3">
        <v>97</v>
      </c>
      <c r="AN3">
        <v>117</v>
      </c>
      <c r="AO3">
        <v>27</v>
      </c>
      <c r="AP3">
        <v>253</v>
      </c>
      <c r="AQ3">
        <v>50</v>
      </c>
      <c r="AR3">
        <v>230</v>
      </c>
      <c r="AS3">
        <v>36</v>
      </c>
      <c r="AT3">
        <v>61</v>
      </c>
      <c r="AU3">
        <v>102</v>
      </c>
      <c r="AV3">
        <v>82</v>
      </c>
      <c r="AW3">
        <v>66</v>
      </c>
      <c r="AX3">
        <v>110</v>
      </c>
      <c r="AY3">
        <v>10989</v>
      </c>
    </row>
    <row r="4" spans="1:52" x14ac:dyDescent="0.3">
      <c r="A4" t="s">
        <v>51</v>
      </c>
      <c r="B4" t="s">
        <v>52</v>
      </c>
      <c r="C4" t="s">
        <v>53</v>
      </c>
      <c r="D4" t="s">
        <v>54</v>
      </c>
      <c r="E4" t="s">
        <v>55</v>
      </c>
      <c r="F4" t="s">
        <v>59</v>
      </c>
      <c r="G4">
        <v>1527312</v>
      </c>
      <c r="H4" s="3">
        <v>7896423471656</v>
      </c>
      <c r="I4" t="s">
        <v>62</v>
      </c>
      <c r="J4" t="s">
        <v>63</v>
      </c>
      <c r="K4">
        <v>104</v>
      </c>
      <c r="L4">
        <v>84</v>
      </c>
      <c r="M4">
        <v>88</v>
      </c>
      <c r="N4">
        <v>0</v>
      </c>
      <c r="O4">
        <v>69</v>
      </c>
      <c r="P4">
        <v>125</v>
      </c>
      <c r="Q4">
        <v>99</v>
      </c>
      <c r="R4">
        <v>45</v>
      </c>
      <c r="S4">
        <v>7</v>
      </c>
      <c r="T4">
        <v>129</v>
      </c>
      <c r="U4">
        <v>114</v>
      </c>
      <c r="V4">
        <v>100</v>
      </c>
      <c r="W4">
        <v>87</v>
      </c>
      <c r="X4">
        <v>33</v>
      </c>
      <c r="Y4">
        <v>100</v>
      </c>
      <c r="Z4">
        <v>27</v>
      </c>
      <c r="AA4">
        <v>64</v>
      </c>
      <c r="AB4">
        <v>113</v>
      </c>
      <c r="AC4">
        <v>230</v>
      </c>
      <c r="AD4">
        <v>30</v>
      </c>
      <c r="AE4">
        <v>0</v>
      </c>
      <c r="AF4">
        <v>53</v>
      </c>
      <c r="AG4">
        <v>53</v>
      </c>
      <c r="AH4">
        <v>104</v>
      </c>
      <c r="AI4">
        <v>99</v>
      </c>
      <c r="AJ4">
        <v>26</v>
      </c>
      <c r="AK4">
        <v>0</v>
      </c>
      <c r="AL4">
        <v>436</v>
      </c>
      <c r="AM4">
        <v>40</v>
      </c>
      <c r="AN4">
        <v>42</v>
      </c>
      <c r="AO4">
        <v>21</v>
      </c>
      <c r="AP4">
        <v>69</v>
      </c>
      <c r="AQ4">
        <v>10</v>
      </c>
      <c r="AR4">
        <v>132</v>
      </c>
      <c r="AS4">
        <v>15</v>
      </c>
      <c r="AT4">
        <v>26</v>
      </c>
      <c r="AU4">
        <v>49</v>
      </c>
      <c r="AV4">
        <v>64</v>
      </c>
      <c r="AW4">
        <v>0</v>
      </c>
      <c r="AX4">
        <v>10</v>
      </c>
      <c r="AY4">
        <v>2897</v>
      </c>
    </row>
    <row r="5" spans="1:52" x14ac:dyDescent="0.3">
      <c r="A5" t="s">
        <v>51</v>
      </c>
      <c r="B5" t="s">
        <v>52</v>
      </c>
      <c r="C5" t="s">
        <v>53</v>
      </c>
      <c r="D5" t="s">
        <v>54</v>
      </c>
      <c r="E5" t="s">
        <v>55</v>
      </c>
      <c r="F5" t="s">
        <v>64</v>
      </c>
      <c r="G5">
        <v>1460781</v>
      </c>
      <c r="H5" s="3">
        <v>40000464266</v>
      </c>
      <c r="I5" t="s">
        <v>65</v>
      </c>
      <c r="J5" t="s">
        <v>58</v>
      </c>
      <c r="K5">
        <v>3</v>
      </c>
      <c r="L5">
        <v>0</v>
      </c>
      <c r="M5">
        <v>12</v>
      </c>
      <c r="N5">
        <v>0</v>
      </c>
      <c r="O5">
        <v>1</v>
      </c>
      <c r="P5">
        <v>25</v>
      </c>
      <c r="Q5">
        <v>0</v>
      </c>
      <c r="R5">
        <v>0</v>
      </c>
      <c r="S5">
        <v>0</v>
      </c>
      <c r="T5">
        <v>2</v>
      </c>
      <c r="U5">
        <v>0</v>
      </c>
      <c r="V5">
        <v>0</v>
      </c>
      <c r="W5">
        <v>50</v>
      </c>
      <c r="X5">
        <v>0</v>
      </c>
      <c r="Y5">
        <v>0</v>
      </c>
      <c r="Z5">
        <v>2</v>
      </c>
      <c r="AA5">
        <v>0</v>
      </c>
      <c r="AB5">
        <v>41</v>
      </c>
      <c r="AC5">
        <v>0</v>
      </c>
      <c r="AD5">
        <v>0</v>
      </c>
      <c r="AE5">
        <v>0</v>
      </c>
      <c r="AF5">
        <v>0</v>
      </c>
      <c r="AG5">
        <v>0</v>
      </c>
      <c r="AH5">
        <v>6</v>
      </c>
      <c r="AI5">
        <v>13</v>
      </c>
      <c r="AJ5">
        <v>0</v>
      </c>
      <c r="AK5">
        <v>0</v>
      </c>
      <c r="AL5">
        <v>5</v>
      </c>
      <c r="AM5">
        <v>0</v>
      </c>
      <c r="AN5">
        <v>9</v>
      </c>
      <c r="AO5">
        <v>0</v>
      </c>
      <c r="AP5">
        <v>14</v>
      </c>
      <c r="AQ5">
        <v>2</v>
      </c>
      <c r="AR5">
        <v>1</v>
      </c>
      <c r="AS5">
        <v>0</v>
      </c>
      <c r="AT5">
        <v>3</v>
      </c>
      <c r="AU5">
        <v>0</v>
      </c>
      <c r="AV5">
        <v>0</v>
      </c>
      <c r="AW5">
        <v>7</v>
      </c>
      <c r="AX5">
        <v>4</v>
      </c>
      <c r="AY5">
        <v>200</v>
      </c>
    </row>
    <row r="6" spans="1:52" x14ac:dyDescent="0.3">
      <c r="A6" t="s">
        <v>51</v>
      </c>
      <c r="B6" t="s">
        <v>52</v>
      </c>
      <c r="C6" t="s">
        <v>53</v>
      </c>
      <c r="D6" t="s">
        <v>54</v>
      </c>
      <c r="E6" t="s">
        <v>55</v>
      </c>
      <c r="F6" t="s">
        <v>64</v>
      </c>
      <c r="G6">
        <v>1376713</v>
      </c>
      <c r="H6" s="3">
        <v>7506174500214</v>
      </c>
      <c r="I6" t="s">
        <v>66</v>
      </c>
      <c r="J6" t="s">
        <v>58</v>
      </c>
      <c r="K6">
        <v>587</v>
      </c>
      <c r="L6">
        <v>0</v>
      </c>
      <c r="M6">
        <v>11</v>
      </c>
      <c r="N6">
        <v>0</v>
      </c>
      <c r="O6">
        <v>36</v>
      </c>
      <c r="P6">
        <v>0</v>
      </c>
      <c r="Q6">
        <v>0</v>
      </c>
      <c r="R6">
        <v>0</v>
      </c>
      <c r="S6">
        <v>0</v>
      </c>
      <c r="T6">
        <v>2287</v>
      </c>
      <c r="U6">
        <v>0</v>
      </c>
      <c r="V6">
        <v>0</v>
      </c>
      <c r="W6">
        <v>0</v>
      </c>
      <c r="X6">
        <v>0</v>
      </c>
      <c r="Y6">
        <v>0</v>
      </c>
      <c r="Z6">
        <v>40</v>
      </c>
      <c r="AA6">
        <v>176</v>
      </c>
      <c r="AB6">
        <v>0</v>
      </c>
      <c r="AC6">
        <v>25</v>
      </c>
      <c r="AD6">
        <v>8</v>
      </c>
      <c r="AE6">
        <v>0</v>
      </c>
      <c r="AF6">
        <v>0</v>
      </c>
      <c r="AG6">
        <v>13</v>
      </c>
      <c r="AH6">
        <v>26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48</v>
      </c>
      <c r="AQ6">
        <v>0</v>
      </c>
      <c r="AR6">
        <v>0</v>
      </c>
      <c r="AS6">
        <v>0</v>
      </c>
      <c r="AT6">
        <v>50</v>
      </c>
      <c r="AU6">
        <v>94</v>
      </c>
      <c r="AV6">
        <v>0</v>
      </c>
      <c r="AW6">
        <v>43</v>
      </c>
      <c r="AX6">
        <v>293</v>
      </c>
      <c r="AY6">
        <v>3737</v>
      </c>
    </row>
    <row r="7" spans="1:52" x14ac:dyDescent="0.3">
      <c r="A7" t="s">
        <v>51</v>
      </c>
      <c r="B7" t="s">
        <v>52</v>
      </c>
      <c r="C7" t="s">
        <v>53</v>
      </c>
      <c r="D7" t="s">
        <v>54</v>
      </c>
      <c r="E7" t="s">
        <v>55</v>
      </c>
      <c r="F7" t="s">
        <v>64</v>
      </c>
      <c r="G7">
        <v>1541315</v>
      </c>
      <c r="H7" s="3">
        <v>7896423412888</v>
      </c>
      <c r="I7" t="s">
        <v>67</v>
      </c>
      <c r="J7" t="s">
        <v>61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2" x14ac:dyDescent="0.3">
      <c r="A8" t="s">
        <v>51</v>
      </c>
      <c r="B8" t="s">
        <v>52</v>
      </c>
      <c r="C8" t="s">
        <v>53</v>
      </c>
      <c r="D8" t="s">
        <v>54</v>
      </c>
      <c r="E8" t="s">
        <v>55</v>
      </c>
      <c r="F8" t="s">
        <v>64</v>
      </c>
      <c r="G8">
        <v>1344871</v>
      </c>
      <c r="H8" s="3">
        <v>7506174500207</v>
      </c>
      <c r="I8" t="s">
        <v>68</v>
      </c>
      <c r="J8" t="s">
        <v>58</v>
      </c>
      <c r="K8">
        <v>2066</v>
      </c>
      <c r="L8">
        <v>1893</v>
      </c>
      <c r="M8">
        <v>815</v>
      </c>
      <c r="N8">
        <v>1413</v>
      </c>
      <c r="O8">
        <v>1307</v>
      </c>
      <c r="P8">
        <v>5545</v>
      </c>
      <c r="Q8">
        <v>3550</v>
      </c>
      <c r="R8">
        <v>2200</v>
      </c>
      <c r="S8">
        <v>1581</v>
      </c>
      <c r="T8">
        <v>3813</v>
      </c>
      <c r="U8">
        <v>2513</v>
      </c>
      <c r="V8">
        <v>4934</v>
      </c>
      <c r="W8">
        <v>2772</v>
      </c>
      <c r="X8">
        <v>2457</v>
      </c>
      <c r="Y8">
        <v>1283</v>
      </c>
      <c r="Z8">
        <v>99</v>
      </c>
      <c r="AA8">
        <v>756</v>
      </c>
      <c r="AB8">
        <v>1909</v>
      </c>
      <c r="AC8">
        <v>1155</v>
      </c>
      <c r="AD8">
        <v>739</v>
      </c>
      <c r="AE8">
        <v>456</v>
      </c>
      <c r="AF8">
        <v>1158</v>
      </c>
      <c r="AG8">
        <v>1042</v>
      </c>
      <c r="AH8">
        <v>1280</v>
      </c>
      <c r="AI8">
        <v>755</v>
      </c>
      <c r="AJ8">
        <v>748</v>
      </c>
      <c r="AK8">
        <v>0</v>
      </c>
      <c r="AL8">
        <v>2923</v>
      </c>
      <c r="AM8">
        <v>420</v>
      </c>
      <c r="AN8">
        <v>583</v>
      </c>
      <c r="AO8">
        <v>45</v>
      </c>
      <c r="AP8">
        <v>1285</v>
      </c>
      <c r="AQ8">
        <v>72</v>
      </c>
      <c r="AR8">
        <v>724</v>
      </c>
      <c r="AS8">
        <v>158</v>
      </c>
      <c r="AT8">
        <v>421</v>
      </c>
      <c r="AU8">
        <v>463</v>
      </c>
      <c r="AV8">
        <v>345</v>
      </c>
      <c r="AW8">
        <v>22</v>
      </c>
      <c r="AX8">
        <v>341</v>
      </c>
      <c r="AY8">
        <v>56041</v>
      </c>
    </row>
    <row r="9" spans="1:52" x14ac:dyDescent="0.3">
      <c r="A9" t="s">
        <v>51</v>
      </c>
      <c r="B9" t="s">
        <v>52</v>
      </c>
      <c r="C9" t="s">
        <v>53</v>
      </c>
      <c r="D9" t="s">
        <v>54</v>
      </c>
      <c r="E9" t="s">
        <v>55</v>
      </c>
      <c r="F9" t="s">
        <v>64</v>
      </c>
      <c r="G9">
        <v>1527304</v>
      </c>
      <c r="H9" s="3">
        <v>7896423401325</v>
      </c>
      <c r="I9" t="s">
        <v>69</v>
      </c>
      <c r="J9" t="s">
        <v>61</v>
      </c>
      <c r="K9">
        <v>0</v>
      </c>
      <c r="L9">
        <v>1</v>
      </c>
      <c r="M9">
        <v>107</v>
      </c>
      <c r="N9">
        <v>8</v>
      </c>
      <c r="O9">
        <v>0</v>
      </c>
      <c r="P9">
        <v>0</v>
      </c>
      <c r="Q9">
        <v>0</v>
      </c>
      <c r="R9">
        <v>0</v>
      </c>
      <c r="S9">
        <v>236</v>
      </c>
      <c r="T9">
        <v>0</v>
      </c>
      <c r="U9">
        <v>0</v>
      </c>
      <c r="V9">
        <v>0</v>
      </c>
      <c r="W9">
        <v>0</v>
      </c>
      <c r="X9">
        <v>0</v>
      </c>
      <c r="Y9">
        <v>4</v>
      </c>
      <c r="Z9">
        <v>75</v>
      </c>
      <c r="AA9">
        <v>195</v>
      </c>
      <c r="AB9">
        <v>0</v>
      </c>
      <c r="AC9">
        <v>0</v>
      </c>
      <c r="AD9">
        <v>0</v>
      </c>
      <c r="AE9">
        <v>2</v>
      </c>
      <c r="AF9">
        <v>126</v>
      </c>
      <c r="AG9">
        <v>22</v>
      </c>
      <c r="AH9">
        <v>0</v>
      </c>
      <c r="AI9">
        <v>0</v>
      </c>
      <c r="AJ9">
        <v>342</v>
      </c>
      <c r="AK9">
        <v>0</v>
      </c>
      <c r="AL9">
        <v>71</v>
      </c>
      <c r="AM9">
        <v>0</v>
      </c>
      <c r="AN9">
        <v>11</v>
      </c>
      <c r="AO9">
        <v>24</v>
      </c>
      <c r="AP9">
        <v>181</v>
      </c>
      <c r="AQ9">
        <v>18</v>
      </c>
      <c r="AR9">
        <v>26</v>
      </c>
      <c r="AS9">
        <v>119</v>
      </c>
      <c r="AT9">
        <v>5</v>
      </c>
      <c r="AU9">
        <v>0</v>
      </c>
      <c r="AV9">
        <v>0</v>
      </c>
      <c r="AW9">
        <v>0</v>
      </c>
      <c r="AX9">
        <v>30</v>
      </c>
      <c r="AY9">
        <v>1603</v>
      </c>
    </row>
    <row r="10" spans="1:52" x14ac:dyDescent="0.3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t="s">
        <v>64</v>
      </c>
      <c r="G10">
        <v>1460790</v>
      </c>
      <c r="H10" s="3">
        <v>40000464082</v>
      </c>
      <c r="I10" t="s">
        <v>70</v>
      </c>
      <c r="J10" t="s">
        <v>58</v>
      </c>
      <c r="K10">
        <v>112</v>
      </c>
      <c r="L10">
        <v>106</v>
      </c>
      <c r="M10">
        <v>85</v>
      </c>
      <c r="N10">
        <v>58</v>
      </c>
      <c r="O10">
        <v>16</v>
      </c>
      <c r="P10">
        <v>79</v>
      </c>
      <c r="Q10">
        <v>76</v>
      </c>
      <c r="R10">
        <v>152</v>
      </c>
      <c r="S10">
        <v>37</v>
      </c>
      <c r="T10">
        <v>173</v>
      </c>
      <c r="U10">
        <v>234</v>
      </c>
      <c r="V10">
        <v>365</v>
      </c>
      <c r="W10">
        <v>109</v>
      </c>
      <c r="X10">
        <v>119</v>
      </c>
      <c r="Y10">
        <v>148</v>
      </c>
      <c r="Z10">
        <v>22</v>
      </c>
      <c r="AA10">
        <v>47</v>
      </c>
      <c r="AB10">
        <v>125</v>
      </c>
      <c r="AC10">
        <v>110</v>
      </c>
      <c r="AD10">
        <v>33</v>
      </c>
      <c r="AE10">
        <v>85</v>
      </c>
      <c r="AF10">
        <v>76</v>
      </c>
      <c r="AG10">
        <v>67</v>
      </c>
      <c r="AH10">
        <v>50</v>
      </c>
      <c r="AI10">
        <v>28</v>
      </c>
      <c r="AJ10">
        <v>56</v>
      </c>
      <c r="AK10">
        <v>32</v>
      </c>
      <c r="AL10">
        <v>308</v>
      </c>
      <c r="AM10">
        <v>26</v>
      </c>
      <c r="AN10">
        <v>24</v>
      </c>
      <c r="AO10">
        <v>5</v>
      </c>
      <c r="AP10">
        <v>54</v>
      </c>
      <c r="AQ10">
        <v>21</v>
      </c>
      <c r="AR10">
        <v>102</v>
      </c>
      <c r="AS10">
        <v>27</v>
      </c>
      <c r="AT10">
        <v>16</v>
      </c>
      <c r="AU10">
        <v>49</v>
      </c>
      <c r="AV10">
        <v>44</v>
      </c>
      <c r="AW10">
        <v>31</v>
      </c>
      <c r="AX10">
        <v>11</v>
      </c>
      <c r="AY10">
        <v>3318</v>
      </c>
    </row>
    <row r="11" spans="1:52" x14ac:dyDescent="0.3">
      <c r="A11" t="s">
        <v>51</v>
      </c>
      <c r="B11" t="s">
        <v>52</v>
      </c>
      <c r="C11" t="s">
        <v>53</v>
      </c>
      <c r="D11" t="s">
        <v>54</v>
      </c>
      <c r="E11" t="s">
        <v>55</v>
      </c>
      <c r="F11" t="s">
        <v>64</v>
      </c>
      <c r="G11">
        <v>346667</v>
      </c>
      <c r="H11" s="3">
        <v>7896423424539</v>
      </c>
      <c r="I11" t="s">
        <v>71</v>
      </c>
      <c r="J11" t="s">
        <v>58</v>
      </c>
      <c r="K11">
        <v>546</v>
      </c>
      <c r="L11">
        <v>929</v>
      </c>
      <c r="M11">
        <v>431</v>
      </c>
      <c r="N11">
        <v>806</v>
      </c>
      <c r="O11">
        <v>292</v>
      </c>
      <c r="P11">
        <v>604</v>
      </c>
      <c r="Q11">
        <v>732</v>
      </c>
      <c r="R11">
        <v>678</v>
      </c>
      <c r="S11">
        <v>330</v>
      </c>
      <c r="T11">
        <v>1483</v>
      </c>
      <c r="U11">
        <v>1135</v>
      </c>
      <c r="V11">
        <v>2034</v>
      </c>
      <c r="W11">
        <v>832</v>
      </c>
      <c r="X11">
        <v>836</v>
      </c>
      <c r="Y11">
        <v>584</v>
      </c>
      <c r="Z11">
        <v>12</v>
      </c>
      <c r="AA11">
        <v>325</v>
      </c>
      <c r="AB11">
        <v>590</v>
      </c>
      <c r="AC11">
        <v>626</v>
      </c>
      <c r="AD11">
        <v>189</v>
      </c>
      <c r="AE11">
        <v>232</v>
      </c>
      <c r="AF11">
        <v>257</v>
      </c>
      <c r="AG11">
        <v>606</v>
      </c>
      <c r="AH11">
        <v>728</v>
      </c>
      <c r="AI11">
        <v>202</v>
      </c>
      <c r="AJ11">
        <v>372</v>
      </c>
      <c r="AK11">
        <v>83</v>
      </c>
      <c r="AL11">
        <v>1101</v>
      </c>
      <c r="AM11">
        <v>259</v>
      </c>
      <c r="AN11">
        <v>195</v>
      </c>
      <c r="AO11">
        <v>28</v>
      </c>
      <c r="AP11">
        <v>310</v>
      </c>
      <c r="AQ11">
        <v>88</v>
      </c>
      <c r="AR11">
        <v>349</v>
      </c>
      <c r="AS11">
        <v>113</v>
      </c>
      <c r="AT11">
        <v>97</v>
      </c>
      <c r="AU11">
        <v>210</v>
      </c>
      <c r="AV11">
        <v>48</v>
      </c>
      <c r="AW11">
        <v>147</v>
      </c>
      <c r="AX11">
        <v>112</v>
      </c>
      <c r="AY11">
        <v>19531</v>
      </c>
    </row>
    <row r="12" spans="1:52" x14ac:dyDescent="0.3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72</v>
      </c>
      <c r="G12">
        <v>509493</v>
      </c>
      <c r="H12" s="3">
        <v>7896423421521</v>
      </c>
      <c r="I12" t="s">
        <v>73</v>
      </c>
      <c r="J12" t="s">
        <v>58</v>
      </c>
      <c r="K12">
        <v>213</v>
      </c>
      <c r="L12">
        <v>194</v>
      </c>
      <c r="M12">
        <v>167</v>
      </c>
      <c r="N12">
        <v>139</v>
      </c>
      <c r="O12">
        <v>121</v>
      </c>
      <c r="P12">
        <v>630</v>
      </c>
      <c r="Q12">
        <v>164</v>
      </c>
      <c r="R12">
        <v>205</v>
      </c>
      <c r="S12">
        <v>120</v>
      </c>
      <c r="T12">
        <v>325</v>
      </c>
      <c r="U12">
        <v>267</v>
      </c>
      <c r="V12">
        <v>440</v>
      </c>
      <c r="W12">
        <v>159</v>
      </c>
      <c r="X12">
        <v>327</v>
      </c>
      <c r="Y12">
        <v>252</v>
      </c>
      <c r="Z12">
        <v>24</v>
      </c>
      <c r="AA12">
        <v>67</v>
      </c>
      <c r="AB12">
        <v>296</v>
      </c>
      <c r="AC12">
        <v>159</v>
      </c>
      <c r="AD12">
        <v>65</v>
      </c>
      <c r="AE12">
        <v>127</v>
      </c>
      <c r="AF12">
        <v>494</v>
      </c>
      <c r="AG12">
        <v>116</v>
      </c>
      <c r="AH12">
        <v>108</v>
      </c>
      <c r="AI12">
        <v>72</v>
      </c>
      <c r="AJ12">
        <v>160</v>
      </c>
      <c r="AK12">
        <v>40</v>
      </c>
      <c r="AL12">
        <v>696</v>
      </c>
      <c r="AM12">
        <v>52</v>
      </c>
      <c r="AN12">
        <v>47</v>
      </c>
      <c r="AO12">
        <v>26</v>
      </c>
      <c r="AP12">
        <v>136</v>
      </c>
      <c r="AQ12">
        <v>87</v>
      </c>
      <c r="AR12">
        <v>159</v>
      </c>
      <c r="AS12">
        <v>59</v>
      </c>
      <c r="AT12">
        <v>63</v>
      </c>
      <c r="AU12">
        <v>54</v>
      </c>
      <c r="AV12">
        <v>56</v>
      </c>
      <c r="AW12">
        <v>42</v>
      </c>
      <c r="AX12">
        <v>57</v>
      </c>
      <c r="AY12">
        <v>6985</v>
      </c>
      <c r="AZ12" s="5">
        <f>AY12/24</f>
        <v>291.04166666666669</v>
      </c>
    </row>
    <row r="13" spans="1:52" x14ac:dyDescent="0.3">
      <c r="A13" t="s">
        <v>51</v>
      </c>
      <c r="B13" t="s">
        <v>52</v>
      </c>
      <c r="C13" t="s">
        <v>53</v>
      </c>
      <c r="D13" t="s">
        <v>54</v>
      </c>
      <c r="E13" t="s">
        <v>55</v>
      </c>
      <c r="F13" t="s">
        <v>72</v>
      </c>
      <c r="G13">
        <v>461288</v>
      </c>
      <c r="H13" s="3">
        <v>7896423421255</v>
      </c>
      <c r="I13" t="s">
        <v>74</v>
      </c>
      <c r="J13" t="s">
        <v>58</v>
      </c>
      <c r="K13">
        <v>533</v>
      </c>
      <c r="L13">
        <v>483</v>
      </c>
      <c r="M13">
        <v>290</v>
      </c>
      <c r="N13">
        <v>353</v>
      </c>
      <c r="O13">
        <v>183</v>
      </c>
      <c r="P13">
        <v>458</v>
      </c>
      <c r="Q13">
        <v>562</v>
      </c>
      <c r="R13">
        <v>399</v>
      </c>
      <c r="S13">
        <v>191</v>
      </c>
      <c r="T13">
        <v>875</v>
      </c>
      <c r="U13">
        <v>611</v>
      </c>
      <c r="V13">
        <v>892</v>
      </c>
      <c r="W13">
        <v>518</v>
      </c>
      <c r="X13">
        <v>573</v>
      </c>
      <c r="Y13">
        <v>415</v>
      </c>
      <c r="Z13">
        <v>107</v>
      </c>
      <c r="AA13">
        <v>123</v>
      </c>
      <c r="AB13">
        <v>253</v>
      </c>
      <c r="AC13">
        <v>277</v>
      </c>
      <c r="AD13">
        <v>130</v>
      </c>
      <c r="AE13">
        <v>252</v>
      </c>
      <c r="AF13">
        <v>264</v>
      </c>
      <c r="AG13">
        <v>293</v>
      </c>
      <c r="AH13">
        <v>412</v>
      </c>
      <c r="AI13">
        <v>148</v>
      </c>
      <c r="AJ13">
        <v>184</v>
      </c>
      <c r="AK13">
        <v>5</v>
      </c>
      <c r="AL13">
        <v>527</v>
      </c>
      <c r="AM13">
        <v>165</v>
      </c>
      <c r="AN13">
        <v>207</v>
      </c>
      <c r="AO13">
        <v>17</v>
      </c>
      <c r="AP13">
        <v>243</v>
      </c>
      <c r="AQ13">
        <v>37</v>
      </c>
      <c r="AR13">
        <v>194</v>
      </c>
      <c r="AS13">
        <v>79</v>
      </c>
      <c r="AT13">
        <v>96</v>
      </c>
      <c r="AU13">
        <v>189</v>
      </c>
      <c r="AV13">
        <v>55</v>
      </c>
      <c r="AW13">
        <v>35</v>
      </c>
      <c r="AX13">
        <v>552</v>
      </c>
      <c r="AY13">
        <v>12180</v>
      </c>
      <c r="AZ13" s="5"/>
    </row>
    <row r="14" spans="1:52" x14ac:dyDescent="0.3">
      <c r="A14" t="s">
        <v>51</v>
      </c>
      <c r="B14" t="s">
        <v>52</v>
      </c>
      <c r="C14" t="s">
        <v>53</v>
      </c>
      <c r="D14" t="s">
        <v>54</v>
      </c>
      <c r="E14" t="s">
        <v>55</v>
      </c>
      <c r="F14" t="s">
        <v>72</v>
      </c>
      <c r="G14">
        <v>509507</v>
      </c>
      <c r="H14" s="3">
        <v>7896423420791</v>
      </c>
      <c r="I14" t="s">
        <v>75</v>
      </c>
      <c r="J14" t="s">
        <v>58</v>
      </c>
      <c r="K14">
        <v>216</v>
      </c>
      <c r="L14">
        <v>355</v>
      </c>
      <c r="M14">
        <v>209</v>
      </c>
      <c r="N14">
        <v>157</v>
      </c>
      <c r="O14">
        <v>149</v>
      </c>
      <c r="P14">
        <v>935</v>
      </c>
      <c r="Q14">
        <v>207</v>
      </c>
      <c r="R14">
        <v>295</v>
      </c>
      <c r="S14">
        <v>145</v>
      </c>
      <c r="T14">
        <v>400</v>
      </c>
      <c r="U14">
        <v>501</v>
      </c>
      <c r="V14">
        <v>510</v>
      </c>
      <c r="W14">
        <v>128</v>
      </c>
      <c r="X14">
        <v>389</v>
      </c>
      <c r="Y14">
        <v>293</v>
      </c>
      <c r="Z14">
        <v>46</v>
      </c>
      <c r="AA14">
        <v>70</v>
      </c>
      <c r="AB14">
        <v>336</v>
      </c>
      <c r="AC14">
        <v>198</v>
      </c>
      <c r="AD14">
        <v>82</v>
      </c>
      <c r="AE14">
        <v>131</v>
      </c>
      <c r="AF14">
        <v>625</v>
      </c>
      <c r="AG14">
        <v>146</v>
      </c>
      <c r="AH14">
        <v>121</v>
      </c>
      <c r="AI14">
        <v>96</v>
      </c>
      <c r="AJ14">
        <v>221</v>
      </c>
      <c r="AK14">
        <v>46</v>
      </c>
      <c r="AL14">
        <v>904</v>
      </c>
      <c r="AM14">
        <v>77</v>
      </c>
      <c r="AN14">
        <v>48</v>
      </c>
      <c r="AO14">
        <v>29</v>
      </c>
      <c r="AP14">
        <v>290</v>
      </c>
      <c r="AQ14">
        <v>68</v>
      </c>
      <c r="AR14">
        <v>255</v>
      </c>
      <c r="AS14">
        <v>89</v>
      </c>
      <c r="AT14">
        <v>63</v>
      </c>
      <c r="AU14">
        <v>92</v>
      </c>
      <c r="AV14">
        <v>50</v>
      </c>
      <c r="AW14">
        <v>54</v>
      </c>
      <c r="AX14">
        <v>62</v>
      </c>
      <c r="AY14" s="4">
        <v>9088</v>
      </c>
      <c r="AZ14" s="5">
        <f>AY14/24</f>
        <v>378.66666666666669</v>
      </c>
    </row>
    <row r="15" spans="1:52" x14ac:dyDescent="0.3">
      <c r="A15" t="s">
        <v>51</v>
      </c>
      <c r="B15" t="s">
        <v>52</v>
      </c>
      <c r="C15" t="s">
        <v>53</v>
      </c>
      <c r="D15" t="s">
        <v>54</v>
      </c>
      <c r="E15" t="s">
        <v>55</v>
      </c>
      <c r="F15" t="s">
        <v>72</v>
      </c>
      <c r="G15">
        <v>461270</v>
      </c>
      <c r="H15" s="3">
        <v>7896423420456</v>
      </c>
      <c r="I15" t="s">
        <v>76</v>
      </c>
      <c r="J15" t="s">
        <v>58</v>
      </c>
      <c r="K15">
        <v>801</v>
      </c>
      <c r="L15">
        <v>868</v>
      </c>
      <c r="M15">
        <v>432</v>
      </c>
      <c r="N15">
        <v>741</v>
      </c>
      <c r="O15">
        <v>285</v>
      </c>
      <c r="P15">
        <v>699</v>
      </c>
      <c r="Q15">
        <v>826</v>
      </c>
      <c r="R15">
        <v>684</v>
      </c>
      <c r="S15">
        <v>427</v>
      </c>
      <c r="T15">
        <v>1248</v>
      </c>
      <c r="U15">
        <v>788</v>
      </c>
      <c r="V15">
        <v>1093</v>
      </c>
      <c r="W15">
        <v>798</v>
      </c>
      <c r="X15">
        <v>1114</v>
      </c>
      <c r="Y15">
        <v>716</v>
      </c>
      <c r="Z15">
        <v>71</v>
      </c>
      <c r="AA15">
        <v>209</v>
      </c>
      <c r="AB15">
        <v>425</v>
      </c>
      <c r="AC15">
        <v>442</v>
      </c>
      <c r="AD15">
        <v>192</v>
      </c>
      <c r="AE15">
        <v>194</v>
      </c>
      <c r="AF15">
        <v>220</v>
      </c>
      <c r="AG15">
        <v>490</v>
      </c>
      <c r="AH15">
        <v>570</v>
      </c>
      <c r="AI15">
        <v>569</v>
      </c>
      <c r="AJ15">
        <v>158</v>
      </c>
      <c r="AK15">
        <v>11</v>
      </c>
      <c r="AL15">
        <v>493</v>
      </c>
      <c r="AM15">
        <v>131</v>
      </c>
      <c r="AN15">
        <v>184</v>
      </c>
      <c r="AO15">
        <v>49</v>
      </c>
      <c r="AP15">
        <v>431</v>
      </c>
      <c r="AQ15">
        <v>68</v>
      </c>
      <c r="AR15">
        <v>391</v>
      </c>
      <c r="AS15">
        <v>138</v>
      </c>
      <c r="AT15">
        <v>102</v>
      </c>
      <c r="AU15">
        <v>326</v>
      </c>
      <c r="AV15">
        <v>182</v>
      </c>
      <c r="AW15">
        <v>79</v>
      </c>
      <c r="AX15">
        <v>670</v>
      </c>
      <c r="AY15">
        <v>18315</v>
      </c>
      <c r="AZ15" s="5"/>
    </row>
    <row r="16" spans="1:52" x14ac:dyDescent="0.3">
      <c r="A16" t="s">
        <v>51</v>
      </c>
      <c r="B16" t="s">
        <v>52</v>
      </c>
      <c r="C16" t="s">
        <v>53</v>
      </c>
      <c r="D16" t="s">
        <v>54</v>
      </c>
      <c r="E16" t="s">
        <v>55</v>
      </c>
      <c r="F16" t="s">
        <v>72</v>
      </c>
      <c r="G16">
        <v>846864</v>
      </c>
      <c r="H16" s="3">
        <v>7896423419276</v>
      </c>
      <c r="I16" t="s">
        <v>77</v>
      </c>
      <c r="J16" t="s">
        <v>58</v>
      </c>
      <c r="K16">
        <v>439</v>
      </c>
      <c r="L16">
        <v>396</v>
      </c>
      <c r="M16">
        <v>287</v>
      </c>
      <c r="N16">
        <v>381</v>
      </c>
      <c r="O16">
        <v>351</v>
      </c>
      <c r="P16">
        <v>1129</v>
      </c>
      <c r="Q16">
        <v>853</v>
      </c>
      <c r="R16">
        <v>676</v>
      </c>
      <c r="S16">
        <v>364</v>
      </c>
      <c r="T16">
        <v>718</v>
      </c>
      <c r="U16">
        <v>621</v>
      </c>
      <c r="V16">
        <v>1325</v>
      </c>
      <c r="W16">
        <v>658</v>
      </c>
      <c r="X16">
        <v>595</v>
      </c>
      <c r="Y16">
        <v>519</v>
      </c>
      <c r="Z16">
        <v>226</v>
      </c>
      <c r="AA16">
        <v>196</v>
      </c>
      <c r="AB16">
        <v>652</v>
      </c>
      <c r="AC16">
        <v>515</v>
      </c>
      <c r="AD16">
        <v>138</v>
      </c>
      <c r="AE16">
        <v>251</v>
      </c>
      <c r="AF16">
        <v>292</v>
      </c>
      <c r="AG16">
        <v>587</v>
      </c>
      <c r="AH16">
        <v>473</v>
      </c>
      <c r="AI16">
        <v>120</v>
      </c>
      <c r="AJ16">
        <v>273</v>
      </c>
      <c r="AK16">
        <v>7</v>
      </c>
      <c r="AL16">
        <v>307</v>
      </c>
      <c r="AM16">
        <v>234</v>
      </c>
      <c r="AN16">
        <v>247</v>
      </c>
      <c r="AO16">
        <v>31</v>
      </c>
      <c r="AP16">
        <v>763</v>
      </c>
      <c r="AQ16">
        <v>76</v>
      </c>
      <c r="AR16">
        <v>168</v>
      </c>
      <c r="AS16">
        <v>44</v>
      </c>
      <c r="AT16">
        <v>52</v>
      </c>
      <c r="AU16">
        <v>233</v>
      </c>
      <c r="AV16">
        <v>26</v>
      </c>
      <c r="AW16">
        <v>30</v>
      </c>
      <c r="AX16">
        <v>36</v>
      </c>
      <c r="AY16">
        <v>15289</v>
      </c>
      <c r="AZ16" s="5">
        <f>SUM(AZ12:AZ15)</f>
        <v>669.70833333333337</v>
      </c>
    </row>
    <row r="17" spans="1:51" x14ac:dyDescent="0.3">
      <c r="A17" t="s">
        <v>51</v>
      </c>
      <c r="B17" t="s">
        <v>52</v>
      </c>
      <c r="C17" t="s">
        <v>78</v>
      </c>
      <c r="D17" t="s">
        <v>54</v>
      </c>
      <c r="E17" t="s">
        <v>55</v>
      </c>
      <c r="F17" t="s">
        <v>72</v>
      </c>
      <c r="G17">
        <v>1440217</v>
      </c>
      <c r="H17" s="3">
        <v>7896423483178</v>
      </c>
      <c r="I17" t="s">
        <v>79</v>
      </c>
      <c r="J17" t="s">
        <v>61</v>
      </c>
      <c r="K17">
        <v>13</v>
      </c>
      <c r="L17">
        <v>11</v>
      </c>
      <c r="M17">
        <v>0</v>
      </c>
      <c r="N17">
        <v>0</v>
      </c>
      <c r="O17">
        <v>0</v>
      </c>
      <c r="P17">
        <v>0</v>
      </c>
      <c r="Q17">
        <v>0</v>
      </c>
      <c r="R17">
        <v>2</v>
      </c>
      <c r="S17">
        <v>1</v>
      </c>
      <c r="T17">
        <v>0</v>
      </c>
      <c r="U17">
        <v>15</v>
      </c>
      <c r="V17">
        <v>36</v>
      </c>
      <c r="W17">
        <v>0</v>
      </c>
      <c r="X17">
        <v>0</v>
      </c>
      <c r="Y17">
        <v>0</v>
      </c>
      <c r="Z17">
        <v>7</v>
      </c>
      <c r="AA17">
        <v>21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30</v>
      </c>
      <c r="AO17">
        <v>29</v>
      </c>
      <c r="AP17">
        <v>0</v>
      </c>
      <c r="AQ17">
        <v>0</v>
      </c>
      <c r="AR17">
        <v>0</v>
      </c>
      <c r="AS17">
        <v>1</v>
      </c>
      <c r="AT17">
        <v>0</v>
      </c>
      <c r="AU17">
        <v>1</v>
      </c>
      <c r="AV17">
        <v>0</v>
      </c>
      <c r="AW17">
        <v>0</v>
      </c>
      <c r="AX17">
        <v>19</v>
      </c>
      <c r="AY17">
        <v>186</v>
      </c>
    </row>
    <row r="18" spans="1:51" x14ac:dyDescent="0.3">
      <c r="A18" t="s">
        <v>80</v>
      </c>
      <c r="B18" t="s">
        <v>52</v>
      </c>
      <c r="C18" t="s">
        <v>81</v>
      </c>
      <c r="D18" t="s">
        <v>54</v>
      </c>
      <c r="E18" t="s">
        <v>82</v>
      </c>
      <c r="F18" t="s">
        <v>83</v>
      </c>
      <c r="G18">
        <v>345831</v>
      </c>
      <c r="H18" s="3">
        <v>7896029025338</v>
      </c>
      <c r="I18" t="s">
        <v>84</v>
      </c>
      <c r="J18" t="s">
        <v>63</v>
      </c>
      <c r="K18">
        <v>0</v>
      </c>
      <c r="L18">
        <v>0</v>
      </c>
      <c r="M18">
        <v>2</v>
      </c>
      <c r="N18">
        <v>8</v>
      </c>
      <c r="O18">
        <v>0</v>
      </c>
      <c r="P18">
        <v>9</v>
      </c>
      <c r="Q18">
        <v>0</v>
      </c>
      <c r="R18">
        <v>9</v>
      </c>
      <c r="S18">
        <v>2</v>
      </c>
      <c r="T18">
        <v>0</v>
      </c>
      <c r="U18">
        <v>16</v>
      </c>
      <c r="V18">
        <v>0</v>
      </c>
      <c r="W18">
        <v>7</v>
      </c>
      <c r="X18">
        <v>0</v>
      </c>
      <c r="Y18">
        <v>1</v>
      </c>
      <c r="Z18">
        <v>0</v>
      </c>
      <c r="AA18">
        <v>0</v>
      </c>
      <c r="AB18">
        <v>1</v>
      </c>
      <c r="AC18">
        <v>5</v>
      </c>
      <c r="AD18">
        <v>0</v>
      </c>
      <c r="AE18">
        <v>0</v>
      </c>
      <c r="AF18">
        <v>5</v>
      </c>
      <c r="AG18">
        <v>2</v>
      </c>
      <c r="AH18">
        <v>7</v>
      </c>
      <c r="AI18">
        <v>0</v>
      </c>
      <c r="AJ18">
        <v>9</v>
      </c>
      <c r="AK18">
        <v>0</v>
      </c>
      <c r="AL18">
        <v>12</v>
      </c>
      <c r="AM18">
        <v>1</v>
      </c>
      <c r="AN18">
        <v>0</v>
      </c>
      <c r="AO18">
        <v>0</v>
      </c>
      <c r="AP18">
        <v>5</v>
      </c>
      <c r="AQ18">
        <v>0</v>
      </c>
      <c r="AR18">
        <v>0</v>
      </c>
      <c r="AS18">
        <v>3</v>
      </c>
      <c r="AT18">
        <v>2</v>
      </c>
      <c r="AU18">
        <v>5</v>
      </c>
      <c r="AV18">
        <v>1</v>
      </c>
      <c r="AW18">
        <v>3</v>
      </c>
      <c r="AX18">
        <v>0</v>
      </c>
      <c r="AY18">
        <v>115</v>
      </c>
    </row>
    <row r="19" spans="1:51" x14ac:dyDescent="0.3">
      <c r="A19" t="s">
        <v>80</v>
      </c>
      <c r="B19" t="s">
        <v>52</v>
      </c>
      <c r="C19" t="s">
        <v>81</v>
      </c>
      <c r="D19" t="s">
        <v>54</v>
      </c>
      <c r="E19" t="s">
        <v>82</v>
      </c>
      <c r="F19" t="s">
        <v>83</v>
      </c>
      <c r="G19">
        <v>1249274</v>
      </c>
      <c r="H19" s="3">
        <v>7896003915150</v>
      </c>
      <c r="I19" t="s">
        <v>85</v>
      </c>
      <c r="J19" t="s">
        <v>58</v>
      </c>
      <c r="K19">
        <v>11</v>
      </c>
      <c r="L19">
        <v>28</v>
      </c>
      <c r="M19">
        <v>4</v>
      </c>
      <c r="N19">
        <v>20</v>
      </c>
      <c r="O19">
        <v>12</v>
      </c>
      <c r="P19">
        <v>8</v>
      </c>
      <c r="Q19">
        <v>18</v>
      </c>
      <c r="R19">
        <v>26</v>
      </c>
      <c r="S19">
        <v>5</v>
      </c>
      <c r="T19">
        <v>55</v>
      </c>
      <c r="U19">
        <v>29</v>
      </c>
      <c r="V19">
        <v>64</v>
      </c>
      <c r="W19">
        <v>31</v>
      </c>
      <c r="X19">
        <v>22</v>
      </c>
      <c r="Y19">
        <v>35</v>
      </c>
      <c r="Z19">
        <v>1</v>
      </c>
      <c r="AA19">
        <v>0</v>
      </c>
      <c r="AB19">
        <v>15</v>
      </c>
      <c r="AC19">
        <v>10</v>
      </c>
      <c r="AD19">
        <v>0</v>
      </c>
      <c r="AE19">
        <v>0</v>
      </c>
      <c r="AF19">
        <v>5</v>
      </c>
      <c r="AG19">
        <v>8</v>
      </c>
      <c r="AH19">
        <v>4</v>
      </c>
      <c r="AI19">
        <v>0</v>
      </c>
      <c r="AJ19">
        <v>16</v>
      </c>
      <c r="AK19">
        <v>2</v>
      </c>
      <c r="AL19">
        <v>11</v>
      </c>
      <c r="AM19">
        <v>3</v>
      </c>
      <c r="AN19">
        <v>0</v>
      </c>
      <c r="AO19">
        <v>0</v>
      </c>
      <c r="AP19">
        <v>6</v>
      </c>
      <c r="AQ19">
        <v>0</v>
      </c>
      <c r="AR19">
        <v>8</v>
      </c>
      <c r="AS19">
        <v>4</v>
      </c>
      <c r="AT19">
        <v>2</v>
      </c>
      <c r="AU19">
        <v>3</v>
      </c>
      <c r="AV19">
        <v>4</v>
      </c>
      <c r="AW19">
        <v>0</v>
      </c>
      <c r="AX19">
        <v>2</v>
      </c>
      <c r="AY19">
        <v>472</v>
      </c>
    </row>
    <row r="20" spans="1:51" x14ac:dyDescent="0.3">
      <c r="A20" t="s">
        <v>80</v>
      </c>
      <c r="B20" t="s">
        <v>52</v>
      </c>
      <c r="C20" t="s">
        <v>81</v>
      </c>
      <c r="D20" t="s">
        <v>54</v>
      </c>
      <c r="E20" t="s">
        <v>82</v>
      </c>
      <c r="F20" t="s">
        <v>83</v>
      </c>
      <c r="G20">
        <v>345822</v>
      </c>
      <c r="H20" s="3">
        <v>7896029025321</v>
      </c>
      <c r="I20" t="s">
        <v>86</v>
      </c>
      <c r="J20" t="s">
        <v>58</v>
      </c>
      <c r="K20">
        <v>13</v>
      </c>
      <c r="L20">
        <v>31</v>
      </c>
      <c r="M20">
        <v>6</v>
      </c>
      <c r="N20">
        <v>37</v>
      </c>
      <c r="O20">
        <v>10</v>
      </c>
      <c r="P20">
        <v>6</v>
      </c>
      <c r="Q20">
        <v>23</v>
      </c>
      <c r="R20">
        <v>21</v>
      </c>
      <c r="S20">
        <v>12</v>
      </c>
      <c r="T20">
        <v>66</v>
      </c>
      <c r="U20">
        <v>20</v>
      </c>
      <c r="V20">
        <v>61</v>
      </c>
      <c r="W20">
        <v>23</v>
      </c>
      <c r="X20">
        <v>12</v>
      </c>
      <c r="Y20">
        <v>25</v>
      </c>
      <c r="Z20">
        <v>4</v>
      </c>
      <c r="AA20">
        <v>0</v>
      </c>
      <c r="AB20">
        <v>3</v>
      </c>
      <c r="AC20">
        <v>13</v>
      </c>
      <c r="AD20">
        <v>0</v>
      </c>
      <c r="AE20">
        <v>0</v>
      </c>
      <c r="AF20">
        <v>10</v>
      </c>
      <c r="AG20">
        <v>10</v>
      </c>
      <c r="AH20">
        <v>7</v>
      </c>
      <c r="AI20">
        <v>0</v>
      </c>
      <c r="AJ20">
        <v>7</v>
      </c>
      <c r="AK20">
        <v>0</v>
      </c>
      <c r="AL20">
        <v>4</v>
      </c>
      <c r="AM20">
        <v>2</v>
      </c>
      <c r="AN20">
        <v>0</v>
      </c>
      <c r="AO20">
        <v>0</v>
      </c>
      <c r="AP20">
        <v>10</v>
      </c>
      <c r="AQ20">
        <v>0</v>
      </c>
      <c r="AR20">
        <v>0</v>
      </c>
      <c r="AS20">
        <v>5</v>
      </c>
      <c r="AT20">
        <v>3</v>
      </c>
      <c r="AU20">
        <v>5</v>
      </c>
      <c r="AV20">
        <v>4</v>
      </c>
      <c r="AW20">
        <v>4</v>
      </c>
      <c r="AX20">
        <v>0</v>
      </c>
      <c r="AY20">
        <v>457</v>
      </c>
    </row>
    <row r="21" spans="1:51" x14ac:dyDescent="0.3">
      <c r="A21" t="s">
        <v>80</v>
      </c>
      <c r="B21" t="s">
        <v>52</v>
      </c>
      <c r="C21" t="s">
        <v>81</v>
      </c>
      <c r="D21" t="s">
        <v>54</v>
      </c>
      <c r="E21" t="s">
        <v>82</v>
      </c>
      <c r="F21" t="s">
        <v>83</v>
      </c>
      <c r="G21">
        <v>345873</v>
      </c>
      <c r="H21" s="3">
        <v>7896029025369</v>
      </c>
      <c r="I21" t="s">
        <v>87</v>
      </c>
      <c r="J21" t="s">
        <v>63</v>
      </c>
      <c r="K21">
        <v>7</v>
      </c>
      <c r="L21">
        <v>11</v>
      </c>
      <c r="M21">
        <v>1</v>
      </c>
      <c r="N21">
        <v>9</v>
      </c>
      <c r="O21">
        <v>4</v>
      </c>
      <c r="P21">
        <v>4</v>
      </c>
      <c r="Q21">
        <v>9</v>
      </c>
      <c r="R21">
        <v>5</v>
      </c>
      <c r="S21">
        <v>1</v>
      </c>
      <c r="T21">
        <v>14</v>
      </c>
      <c r="U21">
        <v>7</v>
      </c>
      <c r="V21">
        <v>0</v>
      </c>
      <c r="W21">
        <v>5</v>
      </c>
      <c r="X21">
        <v>4</v>
      </c>
      <c r="Y21">
        <v>6</v>
      </c>
      <c r="Z21">
        <v>2</v>
      </c>
      <c r="AA21">
        <v>0</v>
      </c>
      <c r="AB21">
        <v>4</v>
      </c>
      <c r="AC21">
        <v>12</v>
      </c>
      <c r="AD21">
        <v>0</v>
      </c>
      <c r="AE21">
        <v>0</v>
      </c>
      <c r="AF21">
        <v>5</v>
      </c>
      <c r="AG21">
        <v>1</v>
      </c>
      <c r="AH21">
        <v>3</v>
      </c>
      <c r="AI21">
        <v>0</v>
      </c>
      <c r="AJ21">
        <v>0</v>
      </c>
      <c r="AK21">
        <v>0</v>
      </c>
      <c r="AL21">
        <v>6</v>
      </c>
      <c r="AM21">
        <v>0</v>
      </c>
      <c r="AN21">
        <v>0</v>
      </c>
      <c r="AO21">
        <v>0</v>
      </c>
      <c r="AP21">
        <v>3</v>
      </c>
      <c r="AQ21">
        <v>0</v>
      </c>
      <c r="AR21">
        <v>0</v>
      </c>
      <c r="AS21">
        <v>0</v>
      </c>
      <c r="AT21">
        <v>0</v>
      </c>
      <c r="AU21">
        <v>1</v>
      </c>
      <c r="AV21">
        <v>1</v>
      </c>
      <c r="AW21">
        <v>1</v>
      </c>
      <c r="AX21">
        <v>2</v>
      </c>
      <c r="AY21">
        <v>128</v>
      </c>
    </row>
    <row r="22" spans="1:51" x14ac:dyDescent="0.3">
      <c r="A22" t="s">
        <v>80</v>
      </c>
      <c r="B22" t="s">
        <v>52</v>
      </c>
      <c r="C22" t="s">
        <v>81</v>
      </c>
      <c r="D22" t="s">
        <v>54</v>
      </c>
      <c r="E22" t="s">
        <v>82</v>
      </c>
      <c r="F22" t="s">
        <v>83</v>
      </c>
      <c r="G22">
        <v>1155334</v>
      </c>
      <c r="H22" s="3">
        <v>7896003941524</v>
      </c>
      <c r="I22" t="s">
        <v>88</v>
      </c>
      <c r="J22" t="s">
        <v>58</v>
      </c>
      <c r="K22">
        <v>36</v>
      </c>
      <c r="L22">
        <v>71</v>
      </c>
      <c r="M22">
        <v>2</v>
      </c>
      <c r="N22">
        <v>15</v>
      </c>
      <c r="O22">
        <v>13</v>
      </c>
      <c r="P22">
        <v>4</v>
      </c>
      <c r="Q22">
        <v>0</v>
      </c>
      <c r="R22">
        <v>26</v>
      </c>
      <c r="S22">
        <v>12</v>
      </c>
      <c r="T22">
        <v>27</v>
      </c>
      <c r="U22">
        <v>23</v>
      </c>
      <c r="V22">
        <v>50</v>
      </c>
      <c r="W22">
        <v>8</v>
      </c>
      <c r="X22">
        <v>25</v>
      </c>
      <c r="Y22">
        <v>35</v>
      </c>
      <c r="Z22">
        <v>4</v>
      </c>
      <c r="AA22">
        <v>0</v>
      </c>
      <c r="AB22">
        <v>27</v>
      </c>
      <c r="AC22">
        <v>13</v>
      </c>
      <c r="AD22">
        <v>0</v>
      </c>
      <c r="AE22">
        <v>0</v>
      </c>
      <c r="AF22">
        <v>1</v>
      </c>
      <c r="AG22">
        <v>2</v>
      </c>
      <c r="AH22">
        <v>6</v>
      </c>
      <c r="AI22">
        <v>3</v>
      </c>
      <c r="AJ22">
        <v>5</v>
      </c>
      <c r="AK22">
        <v>0</v>
      </c>
      <c r="AL22">
        <v>17</v>
      </c>
      <c r="AM22">
        <v>0</v>
      </c>
      <c r="AN22">
        <v>0</v>
      </c>
      <c r="AO22">
        <v>0</v>
      </c>
      <c r="AP22">
        <v>6</v>
      </c>
      <c r="AQ22">
        <v>0</v>
      </c>
      <c r="AR22">
        <v>18</v>
      </c>
      <c r="AS22">
        <v>1</v>
      </c>
      <c r="AT22">
        <v>6</v>
      </c>
      <c r="AU22">
        <v>8</v>
      </c>
      <c r="AV22">
        <v>4</v>
      </c>
      <c r="AW22">
        <v>0</v>
      </c>
      <c r="AX22">
        <v>2</v>
      </c>
      <c r="AY22">
        <v>470</v>
      </c>
    </row>
    <row r="23" spans="1:51" x14ac:dyDescent="0.3">
      <c r="A23" t="s">
        <v>80</v>
      </c>
      <c r="B23" t="s">
        <v>52</v>
      </c>
      <c r="C23" t="s">
        <v>81</v>
      </c>
      <c r="D23" t="s">
        <v>54</v>
      </c>
      <c r="E23" t="s">
        <v>82</v>
      </c>
      <c r="F23" t="s">
        <v>83</v>
      </c>
      <c r="G23">
        <v>1249282</v>
      </c>
      <c r="H23" s="3">
        <v>7896003913828</v>
      </c>
      <c r="I23" t="s">
        <v>89</v>
      </c>
      <c r="J23" t="s">
        <v>58</v>
      </c>
      <c r="K23">
        <v>20</v>
      </c>
      <c r="L23">
        <v>58</v>
      </c>
      <c r="M23">
        <v>3</v>
      </c>
      <c r="N23">
        <v>17</v>
      </c>
      <c r="O23">
        <v>15</v>
      </c>
      <c r="P23">
        <v>7</v>
      </c>
      <c r="Q23">
        <v>20</v>
      </c>
      <c r="R23">
        <v>35</v>
      </c>
      <c r="S23">
        <v>10</v>
      </c>
      <c r="T23">
        <v>54</v>
      </c>
      <c r="U23">
        <v>33</v>
      </c>
      <c r="V23">
        <v>71</v>
      </c>
      <c r="W23">
        <v>37</v>
      </c>
      <c r="X23">
        <v>26</v>
      </c>
      <c r="Y23">
        <v>34</v>
      </c>
      <c r="Z23">
        <v>5</v>
      </c>
      <c r="AA23">
        <v>0</v>
      </c>
      <c r="AB23">
        <v>24</v>
      </c>
      <c r="AC23">
        <v>19</v>
      </c>
      <c r="AD23">
        <v>0</v>
      </c>
      <c r="AE23">
        <v>0</v>
      </c>
      <c r="AF23">
        <v>14</v>
      </c>
      <c r="AG23">
        <v>16</v>
      </c>
      <c r="AH23">
        <v>0</v>
      </c>
      <c r="AI23">
        <v>0</v>
      </c>
      <c r="AJ23">
        <v>19</v>
      </c>
      <c r="AK23">
        <v>7</v>
      </c>
      <c r="AL23">
        <v>9</v>
      </c>
      <c r="AM23">
        <v>1</v>
      </c>
      <c r="AN23">
        <v>0</v>
      </c>
      <c r="AO23">
        <v>0</v>
      </c>
      <c r="AP23">
        <v>6</v>
      </c>
      <c r="AQ23">
        <v>0</v>
      </c>
      <c r="AR23">
        <v>13</v>
      </c>
      <c r="AS23">
        <v>7</v>
      </c>
      <c r="AT23">
        <v>6</v>
      </c>
      <c r="AU23">
        <v>7</v>
      </c>
      <c r="AV23">
        <v>3</v>
      </c>
      <c r="AW23">
        <v>2</v>
      </c>
      <c r="AX23">
        <v>4</v>
      </c>
      <c r="AY23">
        <v>602</v>
      </c>
    </row>
    <row r="24" spans="1:51" x14ac:dyDescent="0.3">
      <c r="A24" t="s">
        <v>80</v>
      </c>
      <c r="B24" t="s">
        <v>52</v>
      </c>
      <c r="C24" t="s">
        <v>81</v>
      </c>
      <c r="D24" t="s">
        <v>54</v>
      </c>
      <c r="E24" t="s">
        <v>82</v>
      </c>
      <c r="F24" t="s">
        <v>83</v>
      </c>
      <c r="G24">
        <v>345865</v>
      </c>
      <c r="H24" s="3">
        <v>7896029025352</v>
      </c>
      <c r="I24" t="s">
        <v>90</v>
      </c>
      <c r="J24" t="s">
        <v>58</v>
      </c>
      <c r="K24">
        <v>8</v>
      </c>
      <c r="L24">
        <v>26</v>
      </c>
      <c r="M24">
        <v>2</v>
      </c>
      <c r="N24">
        <v>11</v>
      </c>
      <c r="O24">
        <v>15</v>
      </c>
      <c r="P24">
        <v>12</v>
      </c>
      <c r="Q24">
        <v>28</v>
      </c>
      <c r="R24">
        <v>22</v>
      </c>
      <c r="S24">
        <v>8</v>
      </c>
      <c r="T24">
        <v>26</v>
      </c>
      <c r="U24">
        <v>31</v>
      </c>
      <c r="V24">
        <v>32</v>
      </c>
      <c r="W24">
        <v>27</v>
      </c>
      <c r="X24">
        <v>9</v>
      </c>
      <c r="Y24">
        <v>38</v>
      </c>
      <c r="Z24">
        <v>2</v>
      </c>
      <c r="AA24">
        <v>0</v>
      </c>
      <c r="AB24">
        <v>20</v>
      </c>
      <c r="AC24">
        <v>7</v>
      </c>
      <c r="AD24">
        <v>0</v>
      </c>
      <c r="AE24">
        <v>0</v>
      </c>
      <c r="AF24">
        <v>5</v>
      </c>
      <c r="AG24">
        <v>4</v>
      </c>
      <c r="AH24">
        <v>7</v>
      </c>
      <c r="AI24">
        <v>0</v>
      </c>
      <c r="AJ24">
        <v>6</v>
      </c>
      <c r="AK24">
        <v>2</v>
      </c>
      <c r="AL24">
        <v>20</v>
      </c>
      <c r="AM24">
        <v>0</v>
      </c>
      <c r="AN24">
        <v>0</v>
      </c>
      <c r="AO24">
        <v>0</v>
      </c>
      <c r="AP24">
        <v>8</v>
      </c>
      <c r="AQ24">
        <v>0</v>
      </c>
      <c r="AR24">
        <v>11</v>
      </c>
      <c r="AS24">
        <v>2</v>
      </c>
      <c r="AT24">
        <v>6</v>
      </c>
      <c r="AU24">
        <v>4</v>
      </c>
      <c r="AV24">
        <v>5</v>
      </c>
      <c r="AW24">
        <v>3</v>
      </c>
      <c r="AX24">
        <v>3</v>
      </c>
      <c r="AY24">
        <v>410</v>
      </c>
    </row>
    <row r="25" spans="1:51" x14ac:dyDescent="0.3">
      <c r="A25" t="s">
        <v>80</v>
      </c>
      <c r="B25" t="s">
        <v>52</v>
      </c>
      <c r="C25" t="s">
        <v>81</v>
      </c>
      <c r="D25" t="s">
        <v>54</v>
      </c>
      <c r="E25" t="s">
        <v>82</v>
      </c>
      <c r="F25" t="s">
        <v>83</v>
      </c>
      <c r="G25">
        <v>1155342</v>
      </c>
      <c r="H25" s="3">
        <v>7896003941531</v>
      </c>
      <c r="I25" t="s">
        <v>91</v>
      </c>
      <c r="J25" t="s">
        <v>58</v>
      </c>
      <c r="K25">
        <v>12</v>
      </c>
      <c r="L25">
        <v>28</v>
      </c>
      <c r="M25">
        <v>3</v>
      </c>
      <c r="N25">
        <v>13</v>
      </c>
      <c r="O25">
        <v>9</v>
      </c>
      <c r="P25">
        <v>1</v>
      </c>
      <c r="Q25">
        <v>11</v>
      </c>
      <c r="R25">
        <v>20</v>
      </c>
      <c r="S25">
        <v>6</v>
      </c>
      <c r="T25">
        <v>45</v>
      </c>
      <c r="U25">
        <v>29</v>
      </c>
      <c r="V25">
        <v>33</v>
      </c>
      <c r="W25">
        <v>24</v>
      </c>
      <c r="X25">
        <v>12</v>
      </c>
      <c r="Y25">
        <v>20</v>
      </c>
      <c r="Z25">
        <v>1</v>
      </c>
      <c r="AA25">
        <v>5</v>
      </c>
      <c r="AB25">
        <v>13</v>
      </c>
      <c r="AC25">
        <v>6</v>
      </c>
      <c r="AD25">
        <v>0</v>
      </c>
      <c r="AE25">
        <v>0</v>
      </c>
      <c r="AF25">
        <v>12</v>
      </c>
      <c r="AG25">
        <v>6</v>
      </c>
      <c r="AH25">
        <v>3</v>
      </c>
      <c r="AI25">
        <v>0</v>
      </c>
      <c r="AJ25">
        <v>11</v>
      </c>
      <c r="AK25">
        <v>0</v>
      </c>
      <c r="AL25">
        <v>12</v>
      </c>
      <c r="AM25">
        <v>2</v>
      </c>
      <c r="AN25">
        <v>0</v>
      </c>
      <c r="AO25">
        <v>0</v>
      </c>
      <c r="AP25">
        <v>2</v>
      </c>
      <c r="AQ25">
        <v>0</v>
      </c>
      <c r="AR25">
        <v>15</v>
      </c>
      <c r="AS25">
        <v>2</v>
      </c>
      <c r="AT25">
        <v>5</v>
      </c>
      <c r="AU25">
        <v>3</v>
      </c>
      <c r="AV25">
        <v>0</v>
      </c>
      <c r="AW25">
        <v>5</v>
      </c>
      <c r="AX25">
        <v>2</v>
      </c>
      <c r="AY25">
        <v>371</v>
      </c>
    </row>
    <row r="26" spans="1:51" x14ac:dyDescent="0.3">
      <c r="A26" t="s">
        <v>80</v>
      </c>
      <c r="B26" t="s">
        <v>52</v>
      </c>
      <c r="C26" t="s">
        <v>81</v>
      </c>
      <c r="D26" t="s">
        <v>54</v>
      </c>
      <c r="E26" t="s">
        <v>82</v>
      </c>
      <c r="F26" t="s">
        <v>83</v>
      </c>
      <c r="G26">
        <v>1155326</v>
      </c>
      <c r="H26" s="3">
        <v>7896003941517</v>
      </c>
      <c r="I26" t="s">
        <v>92</v>
      </c>
      <c r="J26" t="s">
        <v>58</v>
      </c>
      <c r="K26">
        <v>23</v>
      </c>
      <c r="L26">
        <v>42</v>
      </c>
      <c r="M26">
        <v>5</v>
      </c>
      <c r="N26">
        <v>28</v>
      </c>
      <c r="O26">
        <v>20</v>
      </c>
      <c r="P26">
        <v>22</v>
      </c>
      <c r="Q26">
        <v>32</v>
      </c>
      <c r="R26">
        <v>33</v>
      </c>
      <c r="S26">
        <v>26</v>
      </c>
      <c r="T26">
        <v>61</v>
      </c>
      <c r="U26">
        <v>21</v>
      </c>
      <c r="V26">
        <v>96</v>
      </c>
      <c r="W26">
        <v>28</v>
      </c>
      <c r="X26">
        <v>24</v>
      </c>
      <c r="Y26">
        <v>32</v>
      </c>
      <c r="Z26">
        <v>6</v>
      </c>
      <c r="AA26">
        <v>0</v>
      </c>
      <c r="AB26">
        <v>38</v>
      </c>
      <c r="AC26">
        <v>18</v>
      </c>
      <c r="AD26">
        <v>0</v>
      </c>
      <c r="AE26">
        <v>0</v>
      </c>
      <c r="AF26">
        <v>19</v>
      </c>
      <c r="AG26">
        <v>22</v>
      </c>
      <c r="AH26">
        <v>20</v>
      </c>
      <c r="AI26">
        <v>0</v>
      </c>
      <c r="AJ26">
        <v>19</v>
      </c>
      <c r="AK26">
        <v>7</v>
      </c>
      <c r="AL26">
        <v>21</v>
      </c>
      <c r="AM26">
        <v>8</v>
      </c>
      <c r="AN26">
        <v>0</v>
      </c>
      <c r="AO26">
        <v>0</v>
      </c>
      <c r="AP26">
        <v>16</v>
      </c>
      <c r="AQ26">
        <v>0</v>
      </c>
      <c r="AR26">
        <v>23</v>
      </c>
      <c r="AS26">
        <v>5</v>
      </c>
      <c r="AT26">
        <v>13</v>
      </c>
      <c r="AU26">
        <v>6</v>
      </c>
      <c r="AV26">
        <v>3</v>
      </c>
      <c r="AW26">
        <v>13</v>
      </c>
      <c r="AX26">
        <v>3</v>
      </c>
      <c r="AY26">
        <v>753</v>
      </c>
    </row>
    <row r="27" spans="1:51" x14ac:dyDescent="0.3">
      <c r="A27" t="s">
        <v>80</v>
      </c>
      <c r="B27" t="s">
        <v>52</v>
      </c>
      <c r="C27" t="s">
        <v>81</v>
      </c>
      <c r="D27" t="s">
        <v>54</v>
      </c>
      <c r="E27" t="s">
        <v>82</v>
      </c>
      <c r="F27" t="s">
        <v>93</v>
      </c>
      <c r="G27">
        <v>502545</v>
      </c>
      <c r="H27" s="3">
        <v>7896029027585</v>
      </c>
      <c r="I27" t="s">
        <v>94</v>
      </c>
      <c r="J27" t="s">
        <v>58</v>
      </c>
      <c r="K27">
        <v>19</v>
      </c>
      <c r="L27">
        <v>50</v>
      </c>
      <c r="M27">
        <v>19</v>
      </c>
      <c r="N27">
        <v>25</v>
      </c>
      <c r="O27">
        <v>0</v>
      </c>
      <c r="P27">
        <v>15</v>
      </c>
      <c r="Q27">
        <v>16</v>
      </c>
      <c r="R27">
        <v>24</v>
      </c>
      <c r="S27">
        <v>24</v>
      </c>
      <c r="T27">
        <v>43</v>
      </c>
      <c r="U27">
        <v>44</v>
      </c>
      <c r="V27">
        <v>130</v>
      </c>
      <c r="W27">
        <v>70</v>
      </c>
      <c r="X27">
        <v>66</v>
      </c>
      <c r="Y27">
        <v>56</v>
      </c>
      <c r="Z27">
        <v>0</v>
      </c>
      <c r="AA27">
        <v>10</v>
      </c>
      <c r="AB27">
        <v>28</v>
      </c>
      <c r="AC27">
        <v>15</v>
      </c>
      <c r="AD27">
        <v>0</v>
      </c>
      <c r="AE27">
        <v>18</v>
      </c>
      <c r="AF27">
        <v>30</v>
      </c>
      <c r="AG27">
        <v>12</v>
      </c>
      <c r="AH27">
        <v>19</v>
      </c>
      <c r="AI27">
        <v>0</v>
      </c>
      <c r="AJ27">
        <v>16</v>
      </c>
      <c r="AK27">
        <v>6</v>
      </c>
      <c r="AL27">
        <v>32</v>
      </c>
      <c r="AM27">
        <v>0</v>
      </c>
      <c r="AN27">
        <v>0</v>
      </c>
      <c r="AO27">
        <v>0</v>
      </c>
      <c r="AP27">
        <v>7</v>
      </c>
      <c r="AQ27">
        <v>0</v>
      </c>
      <c r="AR27">
        <v>21</v>
      </c>
      <c r="AS27">
        <v>2</v>
      </c>
      <c r="AT27">
        <v>1</v>
      </c>
      <c r="AU27">
        <v>9</v>
      </c>
      <c r="AV27">
        <v>0</v>
      </c>
      <c r="AW27">
        <v>2</v>
      </c>
      <c r="AX27">
        <v>1</v>
      </c>
      <c r="AY27">
        <v>830</v>
      </c>
    </row>
    <row r="28" spans="1:51" x14ac:dyDescent="0.3">
      <c r="A28" t="s">
        <v>80</v>
      </c>
      <c r="B28" t="s">
        <v>52</v>
      </c>
      <c r="C28" t="s">
        <v>81</v>
      </c>
      <c r="D28" t="s">
        <v>54</v>
      </c>
      <c r="E28" t="s">
        <v>82</v>
      </c>
      <c r="F28" t="s">
        <v>93</v>
      </c>
      <c r="G28">
        <v>502537</v>
      </c>
      <c r="H28" s="3">
        <v>7896029027592</v>
      </c>
      <c r="I28" t="s">
        <v>95</v>
      </c>
      <c r="J28" t="s">
        <v>58</v>
      </c>
      <c r="K28">
        <v>24</v>
      </c>
      <c r="L28">
        <v>40</v>
      </c>
      <c r="M28">
        <v>11</v>
      </c>
      <c r="N28">
        <v>15</v>
      </c>
      <c r="O28">
        <v>29</v>
      </c>
      <c r="P28">
        <v>10</v>
      </c>
      <c r="Q28">
        <v>16</v>
      </c>
      <c r="R28">
        <v>26</v>
      </c>
      <c r="S28">
        <v>18</v>
      </c>
      <c r="T28">
        <v>49</v>
      </c>
      <c r="U28">
        <v>55</v>
      </c>
      <c r="V28">
        <v>118</v>
      </c>
      <c r="W28">
        <v>43</v>
      </c>
      <c r="X28">
        <v>47</v>
      </c>
      <c r="Y28">
        <v>45</v>
      </c>
      <c r="Z28">
        <v>5</v>
      </c>
      <c r="AA28">
        <v>8</v>
      </c>
      <c r="AB28">
        <v>28</v>
      </c>
      <c r="AC28">
        <v>11</v>
      </c>
      <c r="AD28">
        <v>0</v>
      </c>
      <c r="AE28">
        <v>13</v>
      </c>
      <c r="AF28">
        <v>16</v>
      </c>
      <c r="AG28">
        <v>4</v>
      </c>
      <c r="AH28">
        <v>7</v>
      </c>
      <c r="AI28">
        <v>0</v>
      </c>
      <c r="AJ28">
        <v>7</v>
      </c>
      <c r="AK28">
        <v>8</v>
      </c>
      <c r="AL28">
        <v>24</v>
      </c>
      <c r="AM28">
        <v>0</v>
      </c>
      <c r="AN28">
        <v>0</v>
      </c>
      <c r="AO28">
        <v>0</v>
      </c>
      <c r="AP28">
        <v>9</v>
      </c>
      <c r="AQ28">
        <v>0</v>
      </c>
      <c r="AR28">
        <v>20</v>
      </c>
      <c r="AS28">
        <v>11</v>
      </c>
      <c r="AT28">
        <v>2</v>
      </c>
      <c r="AU28">
        <v>8</v>
      </c>
      <c r="AV28">
        <v>2</v>
      </c>
      <c r="AW28">
        <v>0</v>
      </c>
      <c r="AX28">
        <v>5</v>
      </c>
      <c r="AY28">
        <v>734</v>
      </c>
    </row>
    <row r="29" spans="1:51" x14ac:dyDescent="0.3">
      <c r="A29" t="s">
        <v>80</v>
      </c>
      <c r="B29" t="s">
        <v>52</v>
      </c>
      <c r="C29" t="s">
        <v>81</v>
      </c>
      <c r="D29" t="s">
        <v>54</v>
      </c>
      <c r="E29" t="s">
        <v>82</v>
      </c>
      <c r="F29" t="s">
        <v>93</v>
      </c>
      <c r="G29">
        <v>502529</v>
      </c>
      <c r="H29" s="3">
        <v>7896029027608</v>
      </c>
      <c r="I29" t="s">
        <v>96</v>
      </c>
      <c r="J29" t="s">
        <v>58</v>
      </c>
      <c r="K29">
        <v>12</v>
      </c>
      <c r="L29">
        <v>17</v>
      </c>
      <c r="M29">
        <v>16</v>
      </c>
      <c r="N29">
        <v>18</v>
      </c>
      <c r="O29">
        <v>29</v>
      </c>
      <c r="P29">
        <v>13</v>
      </c>
      <c r="Q29">
        <v>14</v>
      </c>
      <c r="R29">
        <v>16</v>
      </c>
      <c r="S29">
        <v>12</v>
      </c>
      <c r="T29">
        <v>26</v>
      </c>
      <c r="U29">
        <v>21</v>
      </c>
      <c r="V29">
        <v>68</v>
      </c>
      <c r="W29">
        <v>29</v>
      </c>
      <c r="X29">
        <v>19</v>
      </c>
      <c r="Y29">
        <v>23</v>
      </c>
      <c r="Z29">
        <v>1</v>
      </c>
      <c r="AA29">
        <v>8</v>
      </c>
      <c r="AB29">
        <v>13</v>
      </c>
      <c r="AC29">
        <v>10</v>
      </c>
      <c r="AD29">
        <v>0</v>
      </c>
      <c r="AE29">
        <v>2</v>
      </c>
      <c r="AF29">
        <v>10</v>
      </c>
      <c r="AG29">
        <v>14</v>
      </c>
      <c r="AH29">
        <v>17</v>
      </c>
      <c r="AI29">
        <v>0</v>
      </c>
      <c r="AJ29">
        <v>2</v>
      </c>
      <c r="AK29">
        <v>2</v>
      </c>
      <c r="AL29">
        <v>9</v>
      </c>
      <c r="AM29">
        <v>1</v>
      </c>
      <c r="AN29">
        <v>0</v>
      </c>
      <c r="AO29">
        <v>0</v>
      </c>
      <c r="AP29">
        <v>4</v>
      </c>
      <c r="AQ29">
        <v>0</v>
      </c>
      <c r="AR29">
        <v>6</v>
      </c>
      <c r="AS29">
        <v>0</v>
      </c>
      <c r="AT29">
        <v>8</v>
      </c>
      <c r="AU29">
        <v>3</v>
      </c>
      <c r="AV29">
        <v>7</v>
      </c>
      <c r="AW29">
        <v>2</v>
      </c>
      <c r="AX29">
        <v>1</v>
      </c>
      <c r="AY29">
        <v>453</v>
      </c>
    </row>
    <row r="30" spans="1:51" x14ac:dyDescent="0.3">
      <c r="A30" t="s">
        <v>80</v>
      </c>
      <c r="B30" t="s">
        <v>52</v>
      </c>
      <c r="C30" t="s">
        <v>81</v>
      </c>
      <c r="D30" t="s">
        <v>54</v>
      </c>
      <c r="E30" t="s">
        <v>82</v>
      </c>
      <c r="F30" t="s">
        <v>93</v>
      </c>
      <c r="G30">
        <v>105694</v>
      </c>
      <c r="H30" s="3">
        <v>7896029027233</v>
      </c>
      <c r="I30" t="s">
        <v>97</v>
      </c>
      <c r="J30" t="s">
        <v>58</v>
      </c>
      <c r="K30">
        <v>9</v>
      </c>
      <c r="L30">
        <v>40</v>
      </c>
      <c r="M30">
        <v>4</v>
      </c>
      <c r="N30">
        <v>18</v>
      </c>
      <c r="O30">
        <v>5</v>
      </c>
      <c r="P30">
        <v>8</v>
      </c>
      <c r="Q30">
        <v>18</v>
      </c>
      <c r="R30">
        <v>10</v>
      </c>
      <c r="S30">
        <v>8</v>
      </c>
      <c r="T30">
        <v>18</v>
      </c>
      <c r="U30">
        <v>9</v>
      </c>
      <c r="V30">
        <v>36</v>
      </c>
      <c r="W30">
        <v>11</v>
      </c>
      <c r="X30">
        <v>15</v>
      </c>
      <c r="Y30">
        <v>12</v>
      </c>
      <c r="Z30">
        <v>0</v>
      </c>
      <c r="AA30">
        <v>0</v>
      </c>
      <c r="AB30">
        <v>11</v>
      </c>
      <c r="AC30">
        <v>17</v>
      </c>
      <c r="AD30">
        <v>0</v>
      </c>
      <c r="AE30">
        <v>0</v>
      </c>
      <c r="AF30">
        <v>9</v>
      </c>
      <c r="AG30">
        <v>8</v>
      </c>
      <c r="AH30">
        <v>9</v>
      </c>
      <c r="AI30">
        <v>0</v>
      </c>
      <c r="AJ30">
        <v>16</v>
      </c>
      <c r="AK30">
        <v>3</v>
      </c>
      <c r="AL30">
        <v>8</v>
      </c>
      <c r="AM30">
        <v>1</v>
      </c>
      <c r="AN30">
        <v>0</v>
      </c>
      <c r="AO30">
        <v>0</v>
      </c>
      <c r="AP30">
        <v>6</v>
      </c>
      <c r="AQ30">
        <v>0</v>
      </c>
      <c r="AR30">
        <v>4</v>
      </c>
      <c r="AS30">
        <v>3</v>
      </c>
      <c r="AT30">
        <v>0</v>
      </c>
      <c r="AU30">
        <v>6</v>
      </c>
      <c r="AV30">
        <v>1</v>
      </c>
      <c r="AW30">
        <v>8</v>
      </c>
      <c r="AX30">
        <v>2</v>
      </c>
      <c r="AY30">
        <v>333</v>
      </c>
    </row>
    <row r="31" spans="1:51" x14ac:dyDescent="0.3">
      <c r="A31" t="s">
        <v>80</v>
      </c>
      <c r="B31" t="s">
        <v>52</v>
      </c>
      <c r="C31" t="s">
        <v>81</v>
      </c>
      <c r="D31" t="s">
        <v>54</v>
      </c>
      <c r="E31" t="s">
        <v>82</v>
      </c>
      <c r="F31" t="s">
        <v>93</v>
      </c>
      <c r="G31">
        <v>1210246</v>
      </c>
      <c r="H31" s="3">
        <v>7896003968408</v>
      </c>
      <c r="I31" t="s">
        <v>98</v>
      </c>
      <c r="J31" t="s">
        <v>58</v>
      </c>
      <c r="K31">
        <v>13</v>
      </c>
      <c r="L31">
        <v>30</v>
      </c>
      <c r="M31">
        <v>5</v>
      </c>
      <c r="N31">
        <v>23</v>
      </c>
      <c r="O31">
        <v>10</v>
      </c>
      <c r="P31">
        <v>16</v>
      </c>
      <c r="Q31">
        <v>28</v>
      </c>
      <c r="R31">
        <v>20</v>
      </c>
      <c r="S31">
        <v>16</v>
      </c>
      <c r="T31">
        <v>21</v>
      </c>
      <c r="U31">
        <v>35</v>
      </c>
      <c r="V31">
        <v>83</v>
      </c>
      <c r="W31">
        <v>24</v>
      </c>
      <c r="X31">
        <v>22</v>
      </c>
      <c r="Y31">
        <v>24</v>
      </c>
      <c r="Z31">
        <v>5</v>
      </c>
      <c r="AA31">
        <v>0</v>
      </c>
      <c r="AB31">
        <v>22</v>
      </c>
      <c r="AC31">
        <v>28</v>
      </c>
      <c r="AD31">
        <v>0</v>
      </c>
      <c r="AE31">
        <v>0</v>
      </c>
      <c r="AF31">
        <v>19</v>
      </c>
      <c r="AG31">
        <v>16</v>
      </c>
      <c r="AH31">
        <v>13</v>
      </c>
      <c r="AI31">
        <v>0</v>
      </c>
      <c r="AJ31">
        <v>28</v>
      </c>
      <c r="AK31">
        <v>2</v>
      </c>
      <c r="AL31">
        <v>19</v>
      </c>
      <c r="AM31">
        <v>4</v>
      </c>
      <c r="AN31">
        <v>0</v>
      </c>
      <c r="AO31">
        <v>0</v>
      </c>
      <c r="AP31">
        <v>13</v>
      </c>
      <c r="AQ31">
        <v>0</v>
      </c>
      <c r="AR31">
        <v>13</v>
      </c>
      <c r="AS31">
        <v>8</v>
      </c>
      <c r="AT31">
        <v>0</v>
      </c>
      <c r="AU31">
        <v>4</v>
      </c>
      <c r="AV31">
        <v>0</v>
      </c>
      <c r="AW31">
        <v>19</v>
      </c>
      <c r="AX31">
        <v>3</v>
      </c>
      <c r="AY31">
        <v>586</v>
      </c>
    </row>
    <row r="32" spans="1:51" x14ac:dyDescent="0.3">
      <c r="A32" t="s">
        <v>80</v>
      </c>
      <c r="B32" t="s">
        <v>52</v>
      </c>
      <c r="C32" t="s">
        <v>81</v>
      </c>
      <c r="D32" t="s">
        <v>54</v>
      </c>
      <c r="E32" t="s">
        <v>82</v>
      </c>
      <c r="F32" t="s">
        <v>93</v>
      </c>
      <c r="G32">
        <v>21342</v>
      </c>
      <c r="H32" s="3">
        <v>7896029027240</v>
      </c>
      <c r="I32" t="s">
        <v>99</v>
      </c>
      <c r="J32" t="s">
        <v>58</v>
      </c>
      <c r="K32">
        <v>17</v>
      </c>
      <c r="L32">
        <v>16</v>
      </c>
      <c r="M32">
        <v>3</v>
      </c>
      <c r="N32">
        <v>23</v>
      </c>
      <c r="O32">
        <v>10</v>
      </c>
      <c r="P32">
        <v>17</v>
      </c>
      <c r="Q32">
        <v>25</v>
      </c>
      <c r="R32">
        <v>9</v>
      </c>
      <c r="S32">
        <v>4</v>
      </c>
      <c r="T32">
        <v>20</v>
      </c>
      <c r="U32">
        <v>31</v>
      </c>
      <c r="V32">
        <v>50</v>
      </c>
      <c r="W32">
        <v>19</v>
      </c>
      <c r="X32">
        <v>28</v>
      </c>
      <c r="Y32">
        <v>30</v>
      </c>
      <c r="Z32">
        <v>1</v>
      </c>
      <c r="AA32">
        <v>0</v>
      </c>
      <c r="AB32">
        <v>12</v>
      </c>
      <c r="AC32">
        <v>23</v>
      </c>
      <c r="AD32">
        <v>0</v>
      </c>
      <c r="AE32">
        <v>0</v>
      </c>
      <c r="AF32">
        <v>9</v>
      </c>
      <c r="AG32">
        <v>0</v>
      </c>
      <c r="AH32">
        <v>6</v>
      </c>
      <c r="AI32">
        <v>0</v>
      </c>
      <c r="AJ32">
        <v>8</v>
      </c>
      <c r="AK32">
        <v>4</v>
      </c>
      <c r="AL32">
        <v>15</v>
      </c>
      <c r="AM32">
        <v>0</v>
      </c>
      <c r="AN32">
        <v>0</v>
      </c>
      <c r="AO32">
        <v>0</v>
      </c>
      <c r="AP32">
        <v>8</v>
      </c>
      <c r="AQ32">
        <v>0</v>
      </c>
      <c r="AR32">
        <v>7</v>
      </c>
      <c r="AS32">
        <v>1</v>
      </c>
      <c r="AT32">
        <v>1</v>
      </c>
      <c r="AU32">
        <v>1</v>
      </c>
      <c r="AV32">
        <v>0</v>
      </c>
      <c r="AW32">
        <v>3</v>
      </c>
      <c r="AX32">
        <v>7</v>
      </c>
      <c r="AY32">
        <v>408</v>
      </c>
    </row>
    <row r="33" spans="1:51" x14ac:dyDescent="0.3">
      <c r="A33" t="s">
        <v>80</v>
      </c>
      <c r="B33" t="s">
        <v>52</v>
      </c>
      <c r="C33" t="s">
        <v>81</v>
      </c>
      <c r="D33" t="s">
        <v>54</v>
      </c>
      <c r="E33" t="s">
        <v>82</v>
      </c>
      <c r="F33" t="s">
        <v>93</v>
      </c>
      <c r="G33">
        <v>21385</v>
      </c>
      <c r="H33" s="3">
        <v>7896029027226</v>
      </c>
      <c r="I33" t="s">
        <v>100</v>
      </c>
      <c r="J33" t="s">
        <v>58</v>
      </c>
      <c r="K33">
        <v>32</v>
      </c>
      <c r="L33">
        <v>64</v>
      </c>
      <c r="M33">
        <v>8</v>
      </c>
      <c r="N33">
        <v>26</v>
      </c>
      <c r="O33">
        <v>15</v>
      </c>
      <c r="P33">
        <v>11</v>
      </c>
      <c r="Q33">
        <v>52</v>
      </c>
      <c r="R33">
        <v>50</v>
      </c>
      <c r="S33">
        <v>7</v>
      </c>
      <c r="T33">
        <v>48</v>
      </c>
      <c r="U33">
        <v>33</v>
      </c>
      <c r="V33">
        <v>126</v>
      </c>
      <c r="W33">
        <v>52</v>
      </c>
      <c r="X33">
        <v>48</v>
      </c>
      <c r="Y33">
        <v>47</v>
      </c>
      <c r="Z33">
        <v>4</v>
      </c>
      <c r="AA33">
        <v>0</v>
      </c>
      <c r="AB33">
        <v>19</v>
      </c>
      <c r="AC33">
        <v>43</v>
      </c>
      <c r="AD33">
        <v>0</v>
      </c>
      <c r="AE33">
        <v>0</v>
      </c>
      <c r="AF33">
        <v>28</v>
      </c>
      <c r="AG33">
        <v>20</v>
      </c>
      <c r="AH33">
        <v>18</v>
      </c>
      <c r="AI33">
        <v>0</v>
      </c>
      <c r="AJ33">
        <v>24</v>
      </c>
      <c r="AK33">
        <v>10</v>
      </c>
      <c r="AL33">
        <v>13</v>
      </c>
      <c r="AM33">
        <v>0</v>
      </c>
      <c r="AN33">
        <v>0</v>
      </c>
      <c r="AO33">
        <v>0</v>
      </c>
      <c r="AP33">
        <v>12</v>
      </c>
      <c r="AQ33">
        <v>0</v>
      </c>
      <c r="AR33">
        <v>14</v>
      </c>
      <c r="AS33">
        <v>4</v>
      </c>
      <c r="AT33">
        <v>0</v>
      </c>
      <c r="AU33">
        <v>2</v>
      </c>
      <c r="AV33">
        <v>4</v>
      </c>
      <c r="AW33">
        <v>8</v>
      </c>
      <c r="AX33">
        <v>3</v>
      </c>
      <c r="AY33">
        <v>845</v>
      </c>
    </row>
    <row r="34" spans="1:51" x14ac:dyDescent="0.3">
      <c r="A34" t="s">
        <v>80</v>
      </c>
      <c r="B34" t="s">
        <v>52</v>
      </c>
      <c r="C34" t="s">
        <v>81</v>
      </c>
      <c r="D34" t="s">
        <v>54</v>
      </c>
      <c r="E34" t="s">
        <v>82</v>
      </c>
      <c r="F34" t="s">
        <v>93</v>
      </c>
      <c r="G34">
        <v>474142</v>
      </c>
      <c r="H34" s="3">
        <v>7896029027547</v>
      </c>
      <c r="I34" t="s">
        <v>101</v>
      </c>
      <c r="J34" t="s">
        <v>58</v>
      </c>
      <c r="K34">
        <v>2</v>
      </c>
      <c r="L34">
        <v>2</v>
      </c>
      <c r="M34">
        <v>3</v>
      </c>
      <c r="N34">
        <v>11</v>
      </c>
      <c r="O34">
        <v>4</v>
      </c>
      <c r="P34">
        <v>3</v>
      </c>
      <c r="Q34">
        <v>9</v>
      </c>
      <c r="R34">
        <v>3</v>
      </c>
      <c r="S34">
        <v>3</v>
      </c>
      <c r="T34">
        <v>14</v>
      </c>
      <c r="U34">
        <v>7</v>
      </c>
      <c r="V34">
        <v>17</v>
      </c>
      <c r="W34">
        <v>5</v>
      </c>
      <c r="X34">
        <v>4</v>
      </c>
      <c r="Y34">
        <v>10</v>
      </c>
      <c r="Z34">
        <v>5</v>
      </c>
      <c r="AA34">
        <v>0</v>
      </c>
      <c r="AB34">
        <v>5</v>
      </c>
      <c r="AC34">
        <v>8</v>
      </c>
      <c r="AD34">
        <v>0</v>
      </c>
      <c r="AE34">
        <v>0</v>
      </c>
      <c r="AF34">
        <v>12</v>
      </c>
      <c r="AG34">
        <v>3</v>
      </c>
      <c r="AH34">
        <v>5</v>
      </c>
      <c r="AI34">
        <v>0</v>
      </c>
      <c r="AJ34">
        <v>3</v>
      </c>
      <c r="AK34">
        <v>4</v>
      </c>
      <c r="AL34">
        <v>5</v>
      </c>
      <c r="AM34">
        <v>0</v>
      </c>
      <c r="AN34">
        <v>0</v>
      </c>
      <c r="AO34">
        <v>0</v>
      </c>
      <c r="AP34">
        <v>4</v>
      </c>
      <c r="AQ34">
        <v>0</v>
      </c>
      <c r="AR34">
        <v>5</v>
      </c>
      <c r="AS34">
        <v>0</v>
      </c>
      <c r="AT34">
        <v>0</v>
      </c>
      <c r="AU34">
        <v>1</v>
      </c>
      <c r="AV34">
        <v>0</v>
      </c>
      <c r="AW34">
        <v>2</v>
      </c>
      <c r="AX34">
        <v>2</v>
      </c>
      <c r="AY34">
        <v>161</v>
      </c>
    </row>
    <row r="35" spans="1:51" x14ac:dyDescent="0.3">
      <c r="A35" t="s">
        <v>102</v>
      </c>
      <c r="B35" t="s">
        <v>52</v>
      </c>
      <c r="C35" t="s">
        <v>103</v>
      </c>
      <c r="D35" t="s">
        <v>104</v>
      </c>
      <c r="E35" t="s">
        <v>105</v>
      </c>
      <c r="F35" t="s">
        <v>106</v>
      </c>
      <c r="G35">
        <v>1165577</v>
      </c>
      <c r="H35" s="3">
        <v>7896003941609</v>
      </c>
      <c r="I35" t="s">
        <v>107</v>
      </c>
      <c r="J35" t="s">
        <v>58</v>
      </c>
      <c r="K35">
        <v>33</v>
      </c>
      <c r="L35">
        <v>64</v>
      </c>
      <c r="M35">
        <v>14</v>
      </c>
      <c r="N35">
        <v>20</v>
      </c>
      <c r="O35">
        <v>27</v>
      </c>
      <c r="P35">
        <v>20</v>
      </c>
      <c r="Q35">
        <v>49</v>
      </c>
      <c r="R35">
        <v>44</v>
      </c>
      <c r="S35">
        <v>10</v>
      </c>
      <c r="T35">
        <v>149</v>
      </c>
      <c r="U35">
        <v>58</v>
      </c>
      <c r="V35">
        <v>69</v>
      </c>
      <c r="W35">
        <v>42</v>
      </c>
      <c r="X35">
        <v>40</v>
      </c>
      <c r="Y35">
        <v>71</v>
      </c>
      <c r="Z35">
        <v>11</v>
      </c>
      <c r="AA35">
        <v>0</v>
      </c>
      <c r="AB35">
        <v>35</v>
      </c>
      <c r="AC35">
        <v>32</v>
      </c>
      <c r="AD35">
        <v>0</v>
      </c>
      <c r="AE35">
        <v>0</v>
      </c>
      <c r="AF35">
        <v>15</v>
      </c>
      <c r="AG35">
        <v>13</v>
      </c>
      <c r="AH35">
        <v>13</v>
      </c>
      <c r="AI35">
        <v>0</v>
      </c>
      <c r="AJ35">
        <v>12</v>
      </c>
      <c r="AK35">
        <v>11</v>
      </c>
      <c r="AL35">
        <v>17</v>
      </c>
      <c r="AM35">
        <v>0</v>
      </c>
      <c r="AN35">
        <v>0</v>
      </c>
      <c r="AO35">
        <v>0</v>
      </c>
      <c r="AP35">
        <v>3</v>
      </c>
      <c r="AQ35">
        <v>0</v>
      </c>
      <c r="AR35">
        <v>17</v>
      </c>
      <c r="AS35">
        <v>12</v>
      </c>
      <c r="AT35">
        <v>5</v>
      </c>
      <c r="AU35">
        <v>7</v>
      </c>
      <c r="AV35">
        <v>6</v>
      </c>
      <c r="AW35">
        <v>0</v>
      </c>
      <c r="AX35">
        <v>1</v>
      </c>
      <c r="AY35">
        <v>920</v>
      </c>
    </row>
    <row r="36" spans="1:51" x14ac:dyDescent="0.3">
      <c r="A36" t="s">
        <v>102</v>
      </c>
      <c r="B36" t="s">
        <v>52</v>
      </c>
      <c r="C36" t="s">
        <v>103</v>
      </c>
      <c r="D36" t="s">
        <v>104</v>
      </c>
      <c r="E36" t="s">
        <v>105</v>
      </c>
      <c r="F36" t="s">
        <v>106</v>
      </c>
      <c r="G36">
        <v>23183</v>
      </c>
      <c r="H36" s="3">
        <v>7896029030356</v>
      </c>
      <c r="I36" t="s">
        <v>108</v>
      </c>
      <c r="J36" t="s">
        <v>58</v>
      </c>
      <c r="K36">
        <v>43</v>
      </c>
      <c r="L36">
        <v>103</v>
      </c>
      <c r="M36">
        <v>11</v>
      </c>
      <c r="N36">
        <v>53</v>
      </c>
      <c r="O36">
        <v>34</v>
      </c>
      <c r="P36">
        <v>22</v>
      </c>
      <c r="Q36">
        <v>65</v>
      </c>
      <c r="R36">
        <v>118</v>
      </c>
      <c r="S36">
        <v>23</v>
      </c>
      <c r="T36">
        <v>104</v>
      </c>
      <c r="U36">
        <v>96</v>
      </c>
      <c r="V36">
        <v>129</v>
      </c>
      <c r="W36">
        <v>56</v>
      </c>
      <c r="X36">
        <v>52</v>
      </c>
      <c r="Y36">
        <v>88</v>
      </c>
      <c r="Z36">
        <v>5</v>
      </c>
      <c r="AA36">
        <v>13</v>
      </c>
      <c r="AB36">
        <v>73</v>
      </c>
      <c r="AC36">
        <v>17</v>
      </c>
      <c r="AD36">
        <v>11</v>
      </c>
      <c r="AE36">
        <v>20</v>
      </c>
      <c r="AF36">
        <v>26</v>
      </c>
      <c r="AG36">
        <v>28</v>
      </c>
      <c r="AH36">
        <v>15</v>
      </c>
      <c r="AI36">
        <v>28</v>
      </c>
      <c r="AJ36">
        <v>0</v>
      </c>
      <c r="AK36">
        <v>48</v>
      </c>
      <c r="AL36">
        <v>25</v>
      </c>
      <c r="AM36">
        <v>6</v>
      </c>
      <c r="AN36">
        <v>6</v>
      </c>
      <c r="AO36">
        <v>11</v>
      </c>
      <c r="AP36">
        <v>22</v>
      </c>
      <c r="AQ36">
        <v>16</v>
      </c>
      <c r="AR36">
        <v>29</v>
      </c>
      <c r="AS36">
        <v>11</v>
      </c>
      <c r="AT36">
        <v>6</v>
      </c>
      <c r="AU36">
        <v>10</v>
      </c>
      <c r="AV36">
        <v>4</v>
      </c>
      <c r="AW36">
        <v>6</v>
      </c>
      <c r="AX36">
        <v>2</v>
      </c>
      <c r="AY36">
        <v>1435</v>
      </c>
    </row>
    <row r="37" spans="1:51" x14ac:dyDescent="0.3">
      <c r="A37" t="s">
        <v>102</v>
      </c>
      <c r="B37" t="s">
        <v>52</v>
      </c>
      <c r="C37" t="s">
        <v>103</v>
      </c>
      <c r="D37" t="s">
        <v>104</v>
      </c>
      <c r="E37" t="s">
        <v>105</v>
      </c>
      <c r="F37" t="s">
        <v>106</v>
      </c>
      <c r="G37">
        <v>1533207</v>
      </c>
      <c r="H37" s="3">
        <v>7896003914863</v>
      </c>
      <c r="I37" t="s">
        <v>109</v>
      </c>
      <c r="J37" t="s">
        <v>58</v>
      </c>
      <c r="K37">
        <v>18</v>
      </c>
      <c r="L37">
        <v>21</v>
      </c>
      <c r="M37">
        <v>9</v>
      </c>
      <c r="N37">
        <v>13</v>
      </c>
      <c r="O37">
        <v>8</v>
      </c>
      <c r="P37">
        <v>13</v>
      </c>
      <c r="Q37">
        <v>24</v>
      </c>
      <c r="R37">
        <v>16</v>
      </c>
      <c r="S37">
        <v>14</v>
      </c>
      <c r="T37">
        <v>30</v>
      </c>
      <c r="U37">
        <v>26</v>
      </c>
      <c r="V37">
        <v>23</v>
      </c>
      <c r="W37">
        <v>25</v>
      </c>
      <c r="X37">
        <v>32</v>
      </c>
      <c r="Y37">
        <v>26</v>
      </c>
      <c r="Z37">
        <v>0</v>
      </c>
      <c r="AA37">
        <v>5</v>
      </c>
      <c r="AB37">
        <v>26</v>
      </c>
      <c r="AC37">
        <v>5</v>
      </c>
      <c r="AD37">
        <v>0</v>
      </c>
      <c r="AE37">
        <v>15</v>
      </c>
      <c r="AF37">
        <v>13</v>
      </c>
      <c r="AG37">
        <v>8</v>
      </c>
      <c r="AH37">
        <v>7</v>
      </c>
      <c r="AI37">
        <v>0</v>
      </c>
      <c r="AJ37">
        <v>18</v>
      </c>
      <c r="AK37">
        <v>2</v>
      </c>
      <c r="AL37">
        <v>11</v>
      </c>
      <c r="AM37">
        <v>2</v>
      </c>
      <c r="AN37">
        <v>0</v>
      </c>
      <c r="AO37">
        <v>0</v>
      </c>
      <c r="AP37">
        <v>12</v>
      </c>
      <c r="AQ37">
        <v>0</v>
      </c>
      <c r="AR37">
        <v>18</v>
      </c>
      <c r="AS37">
        <v>11</v>
      </c>
      <c r="AT37">
        <v>9</v>
      </c>
      <c r="AU37">
        <v>4</v>
      </c>
      <c r="AV37">
        <v>0</v>
      </c>
      <c r="AW37">
        <v>6</v>
      </c>
      <c r="AX37">
        <v>1</v>
      </c>
      <c r="AY37">
        <v>471</v>
      </c>
    </row>
    <row r="38" spans="1:51" x14ac:dyDescent="0.3">
      <c r="A38" t="s">
        <v>102</v>
      </c>
      <c r="B38" t="s">
        <v>52</v>
      </c>
      <c r="C38" t="s">
        <v>103</v>
      </c>
      <c r="D38" t="s">
        <v>104</v>
      </c>
      <c r="E38" t="s">
        <v>105</v>
      </c>
      <c r="F38" t="s">
        <v>106</v>
      </c>
      <c r="G38">
        <v>1165593</v>
      </c>
      <c r="H38" s="3">
        <v>7896003989403</v>
      </c>
      <c r="I38" t="s">
        <v>110</v>
      </c>
      <c r="J38" t="s">
        <v>58</v>
      </c>
      <c r="K38">
        <v>21</v>
      </c>
      <c r="L38">
        <v>70</v>
      </c>
      <c r="M38">
        <v>23</v>
      </c>
      <c r="N38">
        <v>28</v>
      </c>
      <c r="O38">
        <v>14</v>
      </c>
      <c r="P38">
        <v>19</v>
      </c>
      <c r="Q38">
        <v>0</v>
      </c>
      <c r="R38">
        <v>49</v>
      </c>
      <c r="S38">
        <v>15</v>
      </c>
      <c r="T38">
        <v>134</v>
      </c>
      <c r="U38">
        <v>78</v>
      </c>
      <c r="V38">
        <v>93</v>
      </c>
      <c r="W38">
        <v>49</v>
      </c>
      <c r="X38">
        <v>55</v>
      </c>
      <c r="Y38">
        <v>68</v>
      </c>
      <c r="Z38">
        <v>5</v>
      </c>
      <c r="AA38">
        <v>0</v>
      </c>
      <c r="AB38">
        <v>31</v>
      </c>
      <c r="AC38">
        <v>32</v>
      </c>
      <c r="AD38">
        <v>0</v>
      </c>
      <c r="AE38">
        <v>0</v>
      </c>
      <c r="AF38">
        <v>17</v>
      </c>
      <c r="AG38">
        <v>6</v>
      </c>
      <c r="AH38">
        <v>13</v>
      </c>
      <c r="AI38">
        <v>0</v>
      </c>
      <c r="AJ38">
        <v>11</v>
      </c>
      <c r="AK38">
        <v>34</v>
      </c>
      <c r="AL38">
        <v>18</v>
      </c>
      <c r="AM38">
        <v>10</v>
      </c>
      <c r="AN38">
        <v>0</v>
      </c>
      <c r="AO38">
        <v>0</v>
      </c>
      <c r="AP38">
        <v>18</v>
      </c>
      <c r="AQ38">
        <v>0</v>
      </c>
      <c r="AR38">
        <v>24</v>
      </c>
      <c r="AS38">
        <v>13</v>
      </c>
      <c r="AT38">
        <v>3</v>
      </c>
      <c r="AU38">
        <v>9</v>
      </c>
      <c r="AV38">
        <v>4</v>
      </c>
      <c r="AW38">
        <v>17</v>
      </c>
      <c r="AX38">
        <v>1</v>
      </c>
      <c r="AY38">
        <v>982</v>
      </c>
    </row>
    <row r="39" spans="1:51" x14ac:dyDescent="0.3">
      <c r="A39" t="s">
        <v>102</v>
      </c>
      <c r="B39" t="s">
        <v>52</v>
      </c>
      <c r="C39" t="s">
        <v>103</v>
      </c>
      <c r="D39" t="s">
        <v>104</v>
      </c>
      <c r="E39" t="s">
        <v>105</v>
      </c>
      <c r="F39" t="s">
        <v>106</v>
      </c>
      <c r="G39">
        <v>1165585</v>
      </c>
      <c r="H39" s="3">
        <v>7896003989137</v>
      </c>
      <c r="I39" t="s">
        <v>111</v>
      </c>
      <c r="J39" t="s">
        <v>58</v>
      </c>
      <c r="K39">
        <v>27</v>
      </c>
      <c r="L39">
        <v>100</v>
      </c>
      <c r="M39">
        <v>24</v>
      </c>
      <c r="N39">
        <v>71</v>
      </c>
      <c r="O39">
        <v>21</v>
      </c>
      <c r="P39">
        <v>15</v>
      </c>
      <c r="Q39">
        <v>71</v>
      </c>
      <c r="R39">
        <v>104</v>
      </c>
      <c r="S39">
        <v>22</v>
      </c>
      <c r="T39">
        <v>96</v>
      </c>
      <c r="U39">
        <v>105</v>
      </c>
      <c r="V39">
        <v>129</v>
      </c>
      <c r="W39">
        <v>44</v>
      </c>
      <c r="X39">
        <v>32</v>
      </c>
      <c r="Y39">
        <v>99</v>
      </c>
      <c r="Z39">
        <v>5</v>
      </c>
      <c r="AA39">
        <v>14</v>
      </c>
      <c r="AB39">
        <v>69</v>
      </c>
      <c r="AC39">
        <v>30</v>
      </c>
      <c r="AD39">
        <v>23</v>
      </c>
      <c r="AE39">
        <v>30</v>
      </c>
      <c r="AF39">
        <v>19</v>
      </c>
      <c r="AG39">
        <v>49</v>
      </c>
      <c r="AH39">
        <v>26</v>
      </c>
      <c r="AI39">
        <v>16</v>
      </c>
      <c r="AJ39">
        <v>28</v>
      </c>
      <c r="AK39">
        <v>30</v>
      </c>
      <c r="AL39">
        <v>31</v>
      </c>
      <c r="AM39">
        <v>11</v>
      </c>
      <c r="AN39">
        <v>5</v>
      </c>
      <c r="AO39">
        <v>7</v>
      </c>
      <c r="AP39">
        <v>14</v>
      </c>
      <c r="AQ39">
        <v>26</v>
      </c>
      <c r="AR39">
        <v>36</v>
      </c>
      <c r="AS39">
        <v>18</v>
      </c>
      <c r="AT39">
        <v>7</v>
      </c>
      <c r="AU39">
        <v>15</v>
      </c>
      <c r="AV39">
        <v>3</v>
      </c>
      <c r="AW39">
        <v>0</v>
      </c>
      <c r="AX39">
        <v>2</v>
      </c>
      <c r="AY39">
        <v>1474</v>
      </c>
    </row>
    <row r="40" spans="1:51" x14ac:dyDescent="0.3">
      <c r="A40" t="s">
        <v>102</v>
      </c>
      <c r="B40" t="s">
        <v>52</v>
      </c>
      <c r="C40" t="s">
        <v>103</v>
      </c>
      <c r="D40" t="s">
        <v>104</v>
      </c>
      <c r="E40" t="s">
        <v>105</v>
      </c>
      <c r="F40" t="s">
        <v>106</v>
      </c>
      <c r="G40">
        <v>1455435</v>
      </c>
      <c r="H40" s="3">
        <v>7896003983142</v>
      </c>
      <c r="I40" t="s">
        <v>112</v>
      </c>
      <c r="J40" t="s">
        <v>58</v>
      </c>
      <c r="K40">
        <v>16</v>
      </c>
      <c r="L40">
        <v>26</v>
      </c>
      <c r="M40">
        <v>10</v>
      </c>
      <c r="N40">
        <v>17</v>
      </c>
      <c r="O40">
        <v>16</v>
      </c>
      <c r="P40">
        <v>18</v>
      </c>
      <c r="Q40">
        <v>26</v>
      </c>
      <c r="R40">
        <v>32</v>
      </c>
      <c r="S40">
        <v>17</v>
      </c>
      <c r="T40">
        <v>46</v>
      </c>
      <c r="U40">
        <v>25</v>
      </c>
      <c r="V40">
        <v>56</v>
      </c>
      <c r="W40">
        <v>48</v>
      </c>
      <c r="X40">
        <v>21</v>
      </c>
      <c r="Y40">
        <v>43</v>
      </c>
      <c r="Z40">
        <v>0</v>
      </c>
      <c r="AA40">
        <v>0</v>
      </c>
      <c r="AB40">
        <v>17</v>
      </c>
      <c r="AC40">
        <v>36</v>
      </c>
      <c r="AD40">
        <v>0</v>
      </c>
      <c r="AE40">
        <v>0</v>
      </c>
      <c r="AF40">
        <v>14</v>
      </c>
      <c r="AG40">
        <v>7</v>
      </c>
      <c r="AH40">
        <v>7</v>
      </c>
      <c r="AI40">
        <v>0</v>
      </c>
      <c r="AJ40">
        <v>14</v>
      </c>
      <c r="AK40">
        <v>4</v>
      </c>
      <c r="AL40">
        <v>20</v>
      </c>
      <c r="AM40">
        <v>6</v>
      </c>
      <c r="AN40">
        <v>0</v>
      </c>
      <c r="AO40">
        <v>0</v>
      </c>
      <c r="AP40">
        <v>27</v>
      </c>
      <c r="AQ40">
        <v>0</v>
      </c>
      <c r="AR40">
        <v>20</v>
      </c>
      <c r="AS40">
        <v>7</v>
      </c>
      <c r="AT40">
        <v>5</v>
      </c>
      <c r="AU40">
        <v>3</v>
      </c>
      <c r="AV40">
        <v>2</v>
      </c>
      <c r="AW40">
        <v>3</v>
      </c>
      <c r="AX40">
        <v>0</v>
      </c>
      <c r="AY40">
        <v>609</v>
      </c>
    </row>
    <row r="41" spans="1:51" x14ac:dyDescent="0.3">
      <c r="A41" t="s">
        <v>102</v>
      </c>
      <c r="B41" t="s">
        <v>52</v>
      </c>
      <c r="C41" t="s">
        <v>103</v>
      </c>
      <c r="D41" t="s">
        <v>104</v>
      </c>
      <c r="E41" t="s">
        <v>105</v>
      </c>
      <c r="F41" t="s">
        <v>106</v>
      </c>
      <c r="G41">
        <v>1356950</v>
      </c>
      <c r="H41" s="3">
        <v>7896003951202</v>
      </c>
      <c r="I41" t="s">
        <v>113</v>
      </c>
      <c r="J41" t="s">
        <v>61</v>
      </c>
      <c r="K41">
        <v>43</v>
      </c>
      <c r="L41">
        <v>94</v>
      </c>
      <c r="M41">
        <v>29</v>
      </c>
      <c r="N41">
        <v>66</v>
      </c>
      <c r="O41">
        <v>24</v>
      </c>
      <c r="P41">
        <v>26</v>
      </c>
      <c r="Q41">
        <v>97</v>
      </c>
      <c r="R41">
        <v>112</v>
      </c>
      <c r="S41">
        <v>36</v>
      </c>
      <c r="T41">
        <v>94</v>
      </c>
      <c r="U41">
        <v>107</v>
      </c>
      <c r="V41">
        <v>150</v>
      </c>
      <c r="W41">
        <v>76</v>
      </c>
      <c r="X41">
        <v>45</v>
      </c>
      <c r="Y41">
        <v>59</v>
      </c>
      <c r="Z41">
        <v>3</v>
      </c>
      <c r="AA41">
        <v>15</v>
      </c>
      <c r="AB41">
        <v>76</v>
      </c>
      <c r="AC41">
        <v>29</v>
      </c>
      <c r="AD41">
        <v>2</v>
      </c>
      <c r="AE41">
        <v>32</v>
      </c>
      <c r="AF41">
        <v>23</v>
      </c>
      <c r="AG41">
        <v>43</v>
      </c>
      <c r="AH41">
        <v>26</v>
      </c>
      <c r="AI41">
        <v>6</v>
      </c>
      <c r="AJ41">
        <v>26</v>
      </c>
      <c r="AK41">
        <v>11</v>
      </c>
      <c r="AL41">
        <v>28</v>
      </c>
      <c r="AM41">
        <v>0</v>
      </c>
      <c r="AN41">
        <v>8</v>
      </c>
      <c r="AO41">
        <v>12</v>
      </c>
      <c r="AP41">
        <v>27</v>
      </c>
      <c r="AQ41">
        <v>13</v>
      </c>
      <c r="AR41">
        <v>35</v>
      </c>
      <c r="AS41">
        <v>25</v>
      </c>
      <c r="AT41">
        <v>8</v>
      </c>
      <c r="AU41">
        <v>5</v>
      </c>
      <c r="AV41">
        <v>6</v>
      </c>
      <c r="AW41">
        <v>5</v>
      </c>
      <c r="AX41">
        <v>5</v>
      </c>
      <c r="AY41">
        <v>1527</v>
      </c>
    </row>
    <row r="42" spans="1:51" x14ac:dyDescent="0.3">
      <c r="A42" t="s">
        <v>102</v>
      </c>
      <c r="B42" t="s">
        <v>52</v>
      </c>
      <c r="C42" t="s">
        <v>103</v>
      </c>
      <c r="D42" t="s">
        <v>104</v>
      </c>
      <c r="E42" t="s">
        <v>105</v>
      </c>
      <c r="F42" t="s">
        <v>106</v>
      </c>
      <c r="G42">
        <v>1221817</v>
      </c>
      <c r="H42" s="3">
        <v>7896003976076</v>
      </c>
      <c r="I42" t="s">
        <v>114</v>
      </c>
      <c r="J42" t="s">
        <v>58</v>
      </c>
      <c r="K42">
        <v>39</v>
      </c>
      <c r="L42">
        <v>55</v>
      </c>
      <c r="M42">
        <v>23</v>
      </c>
      <c r="N42">
        <v>31</v>
      </c>
      <c r="O42">
        <v>41</v>
      </c>
      <c r="P42">
        <v>14</v>
      </c>
      <c r="Q42">
        <v>64</v>
      </c>
      <c r="R42">
        <v>54</v>
      </c>
      <c r="S42">
        <v>25</v>
      </c>
      <c r="T42">
        <v>62</v>
      </c>
      <c r="U42">
        <v>43</v>
      </c>
      <c r="V42">
        <v>112</v>
      </c>
      <c r="W42">
        <v>35</v>
      </c>
      <c r="X42">
        <v>51</v>
      </c>
      <c r="Y42">
        <v>46</v>
      </c>
      <c r="Z42">
        <v>9</v>
      </c>
      <c r="AA42">
        <v>16</v>
      </c>
      <c r="AB42">
        <v>35</v>
      </c>
      <c r="AC42">
        <v>37</v>
      </c>
      <c r="AD42">
        <v>0</v>
      </c>
      <c r="AE42">
        <v>20</v>
      </c>
      <c r="AF42">
        <v>13</v>
      </c>
      <c r="AG42">
        <v>29</v>
      </c>
      <c r="AH42">
        <v>10</v>
      </c>
      <c r="AI42">
        <v>10</v>
      </c>
      <c r="AJ42">
        <v>18</v>
      </c>
      <c r="AK42">
        <v>28</v>
      </c>
      <c r="AL42">
        <v>11</v>
      </c>
      <c r="AM42">
        <v>11</v>
      </c>
      <c r="AN42">
        <v>0</v>
      </c>
      <c r="AO42">
        <v>0</v>
      </c>
      <c r="AP42">
        <v>14</v>
      </c>
      <c r="AQ42">
        <v>2</v>
      </c>
      <c r="AR42">
        <v>6</v>
      </c>
      <c r="AS42">
        <v>13</v>
      </c>
      <c r="AT42">
        <v>12</v>
      </c>
      <c r="AU42">
        <v>22</v>
      </c>
      <c r="AV42">
        <v>15</v>
      </c>
      <c r="AW42">
        <v>1</v>
      </c>
      <c r="AX42">
        <v>0</v>
      </c>
      <c r="AY42">
        <v>1027</v>
      </c>
    </row>
    <row r="43" spans="1:51" x14ac:dyDescent="0.3">
      <c r="A43" t="s">
        <v>102</v>
      </c>
      <c r="B43" t="s">
        <v>52</v>
      </c>
      <c r="C43" t="s">
        <v>103</v>
      </c>
      <c r="D43" t="s">
        <v>104</v>
      </c>
      <c r="E43" t="s">
        <v>115</v>
      </c>
      <c r="F43" t="s">
        <v>116</v>
      </c>
      <c r="G43">
        <v>1175866</v>
      </c>
      <c r="H43" s="3">
        <v>7896003926989</v>
      </c>
      <c r="I43" t="s">
        <v>117</v>
      </c>
      <c r="J43" t="s">
        <v>58</v>
      </c>
      <c r="K43">
        <v>10</v>
      </c>
      <c r="L43">
        <v>12</v>
      </c>
      <c r="M43">
        <v>3</v>
      </c>
      <c r="N43">
        <v>8</v>
      </c>
      <c r="O43">
        <v>10</v>
      </c>
      <c r="P43">
        <v>2</v>
      </c>
      <c r="Q43">
        <v>7</v>
      </c>
      <c r="R43">
        <v>42</v>
      </c>
      <c r="S43">
        <v>2</v>
      </c>
      <c r="T43">
        <v>62</v>
      </c>
      <c r="U43">
        <v>18</v>
      </c>
      <c r="V43">
        <v>63</v>
      </c>
      <c r="W43">
        <v>10</v>
      </c>
      <c r="X43">
        <v>24</v>
      </c>
      <c r="Y43">
        <v>30</v>
      </c>
      <c r="Z43">
        <v>0</v>
      </c>
      <c r="AA43">
        <v>1</v>
      </c>
      <c r="AB43">
        <v>16</v>
      </c>
      <c r="AC43">
        <v>2</v>
      </c>
      <c r="AD43">
        <v>0</v>
      </c>
      <c r="AE43">
        <v>1</v>
      </c>
      <c r="AF43">
        <v>8</v>
      </c>
      <c r="AG43">
        <v>3</v>
      </c>
      <c r="AH43">
        <v>7</v>
      </c>
      <c r="AI43">
        <v>2</v>
      </c>
      <c r="AJ43">
        <v>4</v>
      </c>
      <c r="AK43">
        <v>21</v>
      </c>
      <c r="AL43">
        <v>10</v>
      </c>
      <c r="AM43">
        <v>0</v>
      </c>
      <c r="AN43">
        <v>0</v>
      </c>
      <c r="AO43">
        <v>0</v>
      </c>
      <c r="AP43">
        <v>5</v>
      </c>
      <c r="AQ43">
        <v>0</v>
      </c>
      <c r="AR43">
        <v>8</v>
      </c>
      <c r="AS43">
        <v>8</v>
      </c>
      <c r="AT43">
        <v>0</v>
      </c>
      <c r="AU43">
        <v>1</v>
      </c>
      <c r="AV43">
        <v>0</v>
      </c>
      <c r="AW43">
        <v>2</v>
      </c>
      <c r="AX43">
        <v>0</v>
      </c>
      <c r="AY43">
        <v>402</v>
      </c>
    </row>
    <row r="44" spans="1:51" x14ac:dyDescent="0.3">
      <c r="A44" t="s">
        <v>102</v>
      </c>
      <c r="B44" t="s">
        <v>52</v>
      </c>
      <c r="C44" t="s">
        <v>103</v>
      </c>
      <c r="D44" t="s">
        <v>54</v>
      </c>
      <c r="E44" t="s">
        <v>118</v>
      </c>
      <c r="F44" t="s">
        <v>119</v>
      </c>
      <c r="G44">
        <v>12319</v>
      </c>
      <c r="H44" s="3">
        <v>7896029003039</v>
      </c>
      <c r="I44" t="s">
        <v>120</v>
      </c>
      <c r="J44" t="s">
        <v>61</v>
      </c>
      <c r="K44">
        <v>95</v>
      </c>
      <c r="L44">
        <v>163</v>
      </c>
      <c r="M44">
        <v>45</v>
      </c>
      <c r="N44">
        <v>68</v>
      </c>
      <c r="O44">
        <v>103</v>
      </c>
      <c r="P44">
        <v>591</v>
      </c>
      <c r="Q44">
        <v>266</v>
      </c>
      <c r="R44">
        <v>158</v>
      </c>
      <c r="S44">
        <v>83</v>
      </c>
      <c r="T44">
        <v>234</v>
      </c>
      <c r="U44">
        <v>214</v>
      </c>
      <c r="V44">
        <v>89</v>
      </c>
      <c r="W44">
        <v>78</v>
      </c>
      <c r="X44">
        <v>107</v>
      </c>
      <c r="Y44">
        <v>149</v>
      </c>
      <c r="Z44">
        <v>12</v>
      </c>
      <c r="AA44">
        <v>33</v>
      </c>
      <c r="AB44">
        <v>104</v>
      </c>
      <c r="AC44">
        <v>49</v>
      </c>
      <c r="AD44">
        <v>66</v>
      </c>
      <c r="AE44">
        <v>50</v>
      </c>
      <c r="AF44">
        <v>99</v>
      </c>
      <c r="AG44">
        <v>60</v>
      </c>
      <c r="AH44">
        <v>25</v>
      </c>
      <c r="AI44">
        <v>57</v>
      </c>
      <c r="AJ44">
        <v>42</v>
      </c>
      <c r="AK44">
        <v>44</v>
      </c>
      <c r="AL44">
        <v>41</v>
      </c>
      <c r="AM44">
        <v>31</v>
      </c>
      <c r="AN44">
        <v>42</v>
      </c>
      <c r="AO44">
        <v>18</v>
      </c>
      <c r="AP44">
        <v>62</v>
      </c>
      <c r="AQ44">
        <v>22</v>
      </c>
      <c r="AR44">
        <v>52</v>
      </c>
      <c r="AS44">
        <v>32</v>
      </c>
      <c r="AT44">
        <v>41</v>
      </c>
      <c r="AU44">
        <v>45</v>
      </c>
      <c r="AV44">
        <v>28</v>
      </c>
      <c r="AW44">
        <v>66</v>
      </c>
      <c r="AX44">
        <v>5</v>
      </c>
      <c r="AY44">
        <v>3569</v>
      </c>
    </row>
    <row r="45" spans="1:51" x14ac:dyDescent="0.3">
      <c r="A45" t="s">
        <v>102</v>
      </c>
      <c r="B45" t="s">
        <v>52</v>
      </c>
      <c r="C45" t="s">
        <v>103</v>
      </c>
      <c r="D45" t="s">
        <v>54</v>
      </c>
      <c r="E45" t="s">
        <v>118</v>
      </c>
      <c r="F45" t="s">
        <v>119</v>
      </c>
      <c r="G45">
        <v>12360</v>
      </c>
      <c r="H45" s="3">
        <v>7896029003206</v>
      </c>
      <c r="I45" t="s">
        <v>121</v>
      </c>
      <c r="J45" t="s">
        <v>58</v>
      </c>
      <c r="K45">
        <v>442</v>
      </c>
      <c r="L45">
        <v>548</v>
      </c>
      <c r="M45">
        <v>170</v>
      </c>
      <c r="N45">
        <v>308</v>
      </c>
      <c r="O45">
        <v>182</v>
      </c>
      <c r="P45">
        <v>140</v>
      </c>
      <c r="Q45">
        <v>622</v>
      </c>
      <c r="R45">
        <v>341</v>
      </c>
      <c r="S45">
        <v>142</v>
      </c>
      <c r="T45">
        <v>799</v>
      </c>
      <c r="U45">
        <v>664</v>
      </c>
      <c r="V45">
        <v>528</v>
      </c>
      <c r="W45">
        <v>588</v>
      </c>
      <c r="X45">
        <v>424</v>
      </c>
      <c r="Y45">
        <v>306</v>
      </c>
      <c r="Z45">
        <v>86</v>
      </c>
      <c r="AA45">
        <v>77</v>
      </c>
      <c r="AB45">
        <v>141</v>
      </c>
      <c r="AC45">
        <v>254</v>
      </c>
      <c r="AD45">
        <v>111</v>
      </c>
      <c r="AE45">
        <v>95</v>
      </c>
      <c r="AF45">
        <v>141</v>
      </c>
      <c r="AG45">
        <v>71</v>
      </c>
      <c r="AH45">
        <v>116</v>
      </c>
      <c r="AI45">
        <v>17</v>
      </c>
      <c r="AJ45">
        <v>243</v>
      </c>
      <c r="AK45">
        <v>31</v>
      </c>
      <c r="AL45">
        <v>227</v>
      </c>
      <c r="AM45">
        <v>89</v>
      </c>
      <c r="AN45">
        <v>49</v>
      </c>
      <c r="AO45">
        <v>51</v>
      </c>
      <c r="AP45">
        <v>98</v>
      </c>
      <c r="AQ45">
        <v>94</v>
      </c>
      <c r="AR45">
        <v>577</v>
      </c>
      <c r="AS45">
        <v>127</v>
      </c>
      <c r="AT45">
        <v>66</v>
      </c>
      <c r="AU45">
        <v>185</v>
      </c>
      <c r="AV45">
        <v>79</v>
      </c>
      <c r="AW45">
        <v>123</v>
      </c>
      <c r="AX45">
        <v>74</v>
      </c>
      <c r="AY45">
        <v>9426</v>
      </c>
    </row>
    <row r="46" spans="1:51" x14ac:dyDescent="0.3">
      <c r="A46" t="s">
        <v>102</v>
      </c>
      <c r="B46" t="s">
        <v>52</v>
      </c>
      <c r="C46" t="s">
        <v>103</v>
      </c>
      <c r="D46" t="s">
        <v>54</v>
      </c>
      <c r="E46" t="s">
        <v>118</v>
      </c>
      <c r="F46" t="s">
        <v>119</v>
      </c>
      <c r="G46">
        <v>12351</v>
      </c>
      <c r="H46" s="3">
        <v>7896029020999</v>
      </c>
      <c r="I46" t="s">
        <v>122</v>
      </c>
      <c r="J46" t="s">
        <v>58</v>
      </c>
      <c r="K46">
        <v>58</v>
      </c>
      <c r="L46">
        <v>99</v>
      </c>
      <c r="M46">
        <v>13</v>
      </c>
      <c r="N46">
        <v>66</v>
      </c>
      <c r="O46">
        <v>42</v>
      </c>
      <c r="P46">
        <v>24</v>
      </c>
      <c r="Q46">
        <v>85</v>
      </c>
      <c r="R46">
        <v>122</v>
      </c>
      <c r="S46">
        <v>62</v>
      </c>
      <c r="T46">
        <v>97</v>
      </c>
      <c r="U46">
        <v>67</v>
      </c>
      <c r="V46">
        <v>101</v>
      </c>
      <c r="W46">
        <v>45</v>
      </c>
      <c r="X46">
        <v>47</v>
      </c>
      <c r="Y46">
        <v>42</v>
      </c>
      <c r="Z46">
        <v>13</v>
      </c>
      <c r="AA46">
        <v>22</v>
      </c>
      <c r="AB46">
        <v>66</v>
      </c>
      <c r="AC46">
        <v>31</v>
      </c>
      <c r="AD46">
        <v>22</v>
      </c>
      <c r="AE46">
        <v>28</v>
      </c>
      <c r="AF46">
        <v>23</v>
      </c>
      <c r="AG46">
        <v>42</v>
      </c>
      <c r="AH46">
        <v>13</v>
      </c>
      <c r="AI46">
        <v>13</v>
      </c>
      <c r="AJ46">
        <v>29</v>
      </c>
      <c r="AK46">
        <v>11</v>
      </c>
      <c r="AL46">
        <v>0</v>
      </c>
      <c r="AM46">
        <v>12</v>
      </c>
      <c r="AN46">
        <v>25</v>
      </c>
      <c r="AO46">
        <v>11</v>
      </c>
      <c r="AP46">
        <v>35</v>
      </c>
      <c r="AQ46">
        <v>10</v>
      </c>
      <c r="AR46">
        <v>57</v>
      </c>
      <c r="AS46">
        <v>32</v>
      </c>
      <c r="AT46">
        <v>16</v>
      </c>
      <c r="AU46">
        <v>16</v>
      </c>
      <c r="AV46">
        <v>18</v>
      </c>
      <c r="AW46">
        <v>25</v>
      </c>
      <c r="AX46">
        <v>0</v>
      </c>
      <c r="AY46">
        <v>1540</v>
      </c>
    </row>
  </sheetData>
  <sortState ref="A2:CN46">
    <sortCondition ref="A2:A46"/>
    <sortCondition ref="C2:C46"/>
    <sortCondition ref="F2:F46"/>
    <sortCondition ref="I2:I46"/>
  </sortState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"/>
  <sheetViews>
    <sheetView tabSelected="1" workbookViewId="0">
      <selection activeCell="E8" sqref="E8"/>
    </sheetView>
  </sheetViews>
  <sheetFormatPr defaultRowHeight="14.4" x14ac:dyDescent="0.3"/>
  <cols>
    <col min="1" max="1" width="15.44140625" style="6" bestFit="1" customWidth="1"/>
    <col min="2" max="2" width="21.33203125" style="6" bestFit="1" customWidth="1"/>
    <col min="3" max="3" width="8.88671875" style="6"/>
    <col min="4" max="4" width="14.109375" style="6" bestFit="1" customWidth="1"/>
    <col min="5" max="5" width="34.109375" style="6" bestFit="1" customWidth="1"/>
    <col min="6" max="6" width="6.5546875" style="7" hidden="1" customWidth="1"/>
    <col min="7" max="8" width="9.33203125" style="7" hidden="1" customWidth="1"/>
    <col min="9" max="10" width="10.44140625" style="6" hidden="1" customWidth="1"/>
    <col min="11" max="13" width="0" style="6" hidden="1" customWidth="1"/>
    <col min="14" max="16384" width="8.88671875" style="6"/>
  </cols>
  <sheetData>
    <row r="1" spans="1:14" ht="151.80000000000001" x14ac:dyDescent="0.3">
      <c r="A1" s="10" t="s">
        <v>0</v>
      </c>
      <c r="B1" s="10" t="s">
        <v>4</v>
      </c>
      <c r="C1" s="10" t="s">
        <v>6</v>
      </c>
      <c r="D1" s="10" t="s">
        <v>7</v>
      </c>
      <c r="E1" s="10" t="s">
        <v>8</v>
      </c>
      <c r="F1" s="11" t="s">
        <v>123</v>
      </c>
      <c r="G1" s="19" t="s">
        <v>156</v>
      </c>
      <c r="H1" s="9" t="s">
        <v>124</v>
      </c>
      <c r="I1" s="20" t="s">
        <v>160</v>
      </c>
      <c r="J1" s="24"/>
      <c r="K1" s="11" t="s">
        <v>157</v>
      </c>
      <c r="L1" s="11" t="s">
        <v>158</v>
      </c>
      <c r="M1" s="19" t="s">
        <v>161</v>
      </c>
      <c r="N1" s="19" t="s">
        <v>159</v>
      </c>
    </row>
    <row r="2" spans="1:14" x14ac:dyDescent="0.3">
      <c r="A2" s="13" t="s">
        <v>51</v>
      </c>
      <c r="B2" s="14" t="s">
        <v>155</v>
      </c>
      <c r="C2" s="14">
        <v>1556991</v>
      </c>
      <c r="D2" s="15">
        <v>40000001621</v>
      </c>
      <c r="E2" s="14" t="s">
        <v>125</v>
      </c>
      <c r="F2" s="12">
        <v>360</v>
      </c>
      <c r="G2" s="16">
        <v>20414</v>
      </c>
      <c r="H2" s="16"/>
      <c r="I2" s="21">
        <f t="shared" ref="I2:I4" si="0">G2/F2</f>
        <v>56.705555555555556</v>
      </c>
      <c r="J2" s="25"/>
      <c r="K2" s="23">
        <v>7404</v>
      </c>
      <c r="L2" s="21">
        <f>K2/F2</f>
        <v>20.566666666666666</v>
      </c>
      <c r="M2" s="18">
        <f>L2/18</f>
        <v>1.1425925925925926</v>
      </c>
      <c r="N2" s="8">
        <f>I2/M2</f>
        <v>49.628849270664503</v>
      </c>
    </row>
    <row r="3" spans="1:14" x14ac:dyDescent="0.3">
      <c r="A3" s="13" t="s">
        <v>51</v>
      </c>
      <c r="B3" s="14" t="s">
        <v>155</v>
      </c>
      <c r="C3" s="14">
        <v>1556983</v>
      </c>
      <c r="D3" s="15">
        <v>40000001607</v>
      </c>
      <c r="E3" s="14" t="s">
        <v>126</v>
      </c>
      <c r="F3" s="12">
        <v>360</v>
      </c>
      <c r="G3" s="16">
        <v>19571</v>
      </c>
      <c r="H3" s="16"/>
      <c r="I3" s="21">
        <f t="shared" si="0"/>
        <v>54.363888888888887</v>
      </c>
      <c r="J3" s="25"/>
      <c r="K3" s="23">
        <v>9362</v>
      </c>
      <c r="L3" s="21">
        <f t="shared" ref="L3:L50" si="1">K3/F3</f>
        <v>26.005555555555556</v>
      </c>
      <c r="M3" s="18">
        <f t="shared" ref="M3:M50" si="2">L3/18</f>
        <v>1.4447530864197531</v>
      </c>
      <c r="N3" s="8">
        <f t="shared" ref="N3:N50" si="3">I3/M3</f>
        <v>37.628498184148683</v>
      </c>
    </row>
    <row r="4" spans="1:14" x14ac:dyDescent="0.3">
      <c r="A4" s="13" t="s">
        <v>51</v>
      </c>
      <c r="B4" s="14" t="s">
        <v>155</v>
      </c>
      <c r="C4" s="14">
        <v>1489453</v>
      </c>
      <c r="D4" s="15">
        <v>7896423405491</v>
      </c>
      <c r="E4" s="14" t="s">
        <v>60</v>
      </c>
      <c r="F4" s="12">
        <v>216</v>
      </c>
      <c r="G4" s="16">
        <v>16314</v>
      </c>
      <c r="H4" s="16"/>
      <c r="I4" s="21">
        <f t="shared" si="0"/>
        <v>75.527777777777771</v>
      </c>
      <c r="J4" s="25"/>
      <c r="K4" s="23">
        <v>3690</v>
      </c>
      <c r="L4" s="21">
        <f t="shared" si="1"/>
        <v>17.083333333333332</v>
      </c>
      <c r="M4" s="18">
        <f t="shared" si="2"/>
        <v>0.94907407407407396</v>
      </c>
      <c r="N4" s="8">
        <f t="shared" si="3"/>
        <v>79.580487804878047</v>
      </c>
    </row>
    <row r="5" spans="1:14" x14ac:dyDescent="0.3">
      <c r="A5" s="13" t="s">
        <v>51</v>
      </c>
      <c r="B5" s="14" t="s">
        <v>155</v>
      </c>
      <c r="C5" s="14">
        <v>1527312</v>
      </c>
      <c r="D5" s="15">
        <v>7896423471656</v>
      </c>
      <c r="E5" s="14" t="s">
        <v>62</v>
      </c>
      <c r="F5" s="12">
        <v>144</v>
      </c>
      <c r="G5" s="16">
        <v>12224</v>
      </c>
      <c r="H5" s="17"/>
      <c r="I5" s="21">
        <f>G5/F5</f>
        <v>84.888888888888886</v>
      </c>
      <c r="J5" s="25"/>
      <c r="K5" s="23">
        <v>3385</v>
      </c>
      <c r="L5" s="21">
        <f t="shared" si="1"/>
        <v>23.506944444444443</v>
      </c>
      <c r="M5" s="18">
        <f t="shared" si="2"/>
        <v>1.3059413580246912</v>
      </c>
      <c r="N5" s="8">
        <f t="shared" si="3"/>
        <v>65.002067946824226</v>
      </c>
    </row>
    <row r="6" spans="1:14" x14ac:dyDescent="0.3">
      <c r="A6" s="13" t="s">
        <v>51</v>
      </c>
      <c r="B6" s="14" t="s">
        <v>155</v>
      </c>
      <c r="C6" s="14">
        <v>1426630</v>
      </c>
      <c r="D6" s="15">
        <v>7896423451191</v>
      </c>
      <c r="E6" s="14" t="s">
        <v>57</v>
      </c>
      <c r="F6" s="12">
        <v>144</v>
      </c>
      <c r="G6" s="16">
        <v>9513</v>
      </c>
      <c r="H6" s="17"/>
      <c r="I6" s="21">
        <f t="shared" ref="I6:I49" si="4">G6/F6</f>
        <v>66.0625</v>
      </c>
      <c r="J6" s="25"/>
      <c r="K6" s="23">
        <v>2385</v>
      </c>
      <c r="L6" s="21">
        <f t="shared" si="1"/>
        <v>16.5625</v>
      </c>
      <c r="M6" s="18">
        <f t="shared" si="2"/>
        <v>0.92013888888888884</v>
      </c>
      <c r="N6" s="8">
        <f t="shared" si="3"/>
        <v>71.796226415094338</v>
      </c>
    </row>
    <row r="7" spans="1:14" x14ac:dyDescent="0.3">
      <c r="A7" s="13" t="s">
        <v>51</v>
      </c>
      <c r="B7" s="14" t="s">
        <v>155</v>
      </c>
      <c r="C7" s="14">
        <v>1541315</v>
      </c>
      <c r="D7" s="15">
        <v>7896423412888</v>
      </c>
      <c r="E7" s="14" t="s">
        <v>67</v>
      </c>
      <c r="F7" s="12">
        <v>144</v>
      </c>
      <c r="G7" s="16">
        <v>9662</v>
      </c>
      <c r="H7" s="17"/>
      <c r="I7" s="21">
        <f t="shared" si="4"/>
        <v>67.097222222222229</v>
      </c>
      <c r="J7" s="25"/>
      <c r="K7" s="23">
        <v>2698</v>
      </c>
      <c r="L7" s="21">
        <f t="shared" si="1"/>
        <v>18.736111111111111</v>
      </c>
      <c r="M7" s="18">
        <f t="shared" si="2"/>
        <v>1.040895061728395</v>
      </c>
      <c r="N7" s="8">
        <f t="shared" si="3"/>
        <v>64.461082283172729</v>
      </c>
    </row>
    <row r="8" spans="1:14" x14ac:dyDescent="0.3">
      <c r="A8" s="13" t="s">
        <v>51</v>
      </c>
      <c r="B8" s="14" t="s">
        <v>155</v>
      </c>
      <c r="C8" s="14">
        <v>1344871</v>
      </c>
      <c r="D8" s="15">
        <v>7506174500207</v>
      </c>
      <c r="E8" s="14" t="s">
        <v>68</v>
      </c>
      <c r="F8" s="12">
        <v>240</v>
      </c>
      <c r="G8" s="16">
        <v>71311</v>
      </c>
      <c r="H8" s="17"/>
      <c r="I8" s="21">
        <f t="shared" si="4"/>
        <v>297.12916666666666</v>
      </c>
      <c r="J8" s="25"/>
      <c r="K8" s="23">
        <v>18551</v>
      </c>
      <c r="L8" s="21">
        <f t="shared" si="1"/>
        <v>77.295833333333334</v>
      </c>
      <c r="M8" s="18">
        <f t="shared" si="2"/>
        <v>4.2942129629629626</v>
      </c>
      <c r="N8" s="8">
        <f t="shared" si="3"/>
        <v>69.192927604980866</v>
      </c>
    </row>
    <row r="9" spans="1:14" x14ac:dyDescent="0.3">
      <c r="A9" s="13" t="s">
        <v>51</v>
      </c>
      <c r="B9" s="14" t="s">
        <v>155</v>
      </c>
      <c r="C9" s="14">
        <v>1527304</v>
      </c>
      <c r="D9" s="15">
        <v>7896423401325</v>
      </c>
      <c r="E9" s="14" t="s">
        <v>127</v>
      </c>
      <c r="F9" s="12"/>
      <c r="G9" s="16">
        <v>9</v>
      </c>
      <c r="H9" s="17"/>
      <c r="I9" s="21">
        <v>0</v>
      </c>
      <c r="J9" s="25"/>
      <c r="K9" s="23">
        <v>0</v>
      </c>
      <c r="L9" s="21" t="e">
        <f t="shared" si="1"/>
        <v>#DIV/0!</v>
      </c>
      <c r="M9" s="18" t="e">
        <f t="shared" si="2"/>
        <v>#DIV/0!</v>
      </c>
      <c r="N9" s="8"/>
    </row>
    <row r="10" spans="1:14" x14ac:dyDescent="0.3">
      <c r="A10" s="13" t="s">
        <v>51</v>
      </c>
      <c r="B10" s="14" t="s">
        <v>155</v>
      </c>
      <c r="C10" s="14">
        <v>1570641</v>
      </c>
      <c r="D10" s="15">
        <v>7896423479560</v>
      </c>
      <c r="E10" s="14" t="s">
        <v>128</v>
      </c>
      <c r="F10" s="12">
        <v>216</v>
      </c>
      <c r="G10" s="16">
        <v>20242</v>
      </c>
      <c r="H10" s="17"/>
      <c r="I10" s="21">
        <f t="shared" si="4"/>
        <v>93.712962962962962</v>
      </c>
      <c r="J10" s="25"/>
      <c r="K10" s="23">
        <v>3310</v>
      </c>
      <c r="L10" s="21">
        <f t="shared" si="1"/>
        <v>15.324074074074074</v>
      </c>
      <c r="M10" s="18">
        <f t="shared" si="2"/>
        <v>0.85133744855967075</v>
      </c>
      <c r="N10" s="8">
        <f t="shared" si="3"/>
        <v>110.0773413897281</v>
      </c>
    </row>
    <row r="11" spans="1:14" x14ac:dyDescent="0.3">
      <c r="A11" s="13" t="s">
        <v>51</v>
      </c>
      <c r="B11" s="14" t="s">
        <v>155</v>
      </c>
      <c r="C11" s="14">
        <v>346667</v>
      </c>
      <c r="D11" s="15">
        <v>7896423424539</v>
      </c>
      <c r="E11" s="14" t="s">
        <v>71</v>
      </c>
      <c r="F11" s="12">
        <v>216</v>
      </c>
      <c r="G11" s="16">
        <v>20021</v>
      </c>
      <c r="H11" s="17"/>
      <c r="I11" s="21">
        <f t="shared" si="4"/>
        <v>92.68981481481481</v>
      </c>
      <c r="J11" s="25"/>
      <c r="K11" s="23">
        <v>6516</v>
      </c>
      <c r="L11" s="21">
        <f t="shared" si="1"/>
        <v>30.166666666666668</v>
      </c>
      <c r="M11" s="18">
        <f t="shared" si="2"/>
        <v>1.675925925925926</v>
      </c>
      <c r="N11" s="8">
        <f t="shared" si="3"/>
        <v>55.306629834254139</v>
      </c>
    </row>
    <row r="12" spans="1:14" x14ac:dyDescent="0.3">
      <c r="A12" s="13" t="s">
        <v>51</v>
      </c>
      <c r="B12" s="14" t="s">
        <v>155</v>
      </c>
      <c r="C12" s="14">
        <v>509493</v>
      </c>
      <c r="D12" s="15">
        <v>7896423421521</v>
      </c>
      <c r="E12" s="14" t="s">
        <v>129</v>
      </c>
      <c r="F12" s="12">
        <v>24</v>
      </c>
      <c r="G12" s="16">
        <v>5638</v>
      </c>
      <c r="H12" s="17"/>
      <c r="I12" s="21">
        <f t="shared" si="4"/>
        <v>234.91666666666666</v>
      </c>
      <c r="J12" s="25"/>
      <c r="K12" s="23">
        <v>1539</v>
      </c>
      <c r="L12" s="21">
        <f t="shared" si="1"/>
        <v>64.125</v>
      </c>
      <c r="M12" s="18">
        <f t="shared" si="2"/>
        <v>3.5625</v>
      </c>
      <c r="N12" s="8">
        <f t="shared" si="3"/>
        <v>65.941520467836256</v>
      </c>
    </row>
    <row r="13" spans="1:14" x14ac:dyDescent="0.3">
      <c r="A13" s="13" t="s">
        <v>51</v>
      </c>
      <c r="B13" s="14" t="s">
        <v>155</v>
      </c>
      <c r="C13" s="14">
        <v>461288</v>
      </c>
      <c r="D13" s="15">
        <v>7896423421255</v>
      </c>
      <c r="E13" s="14" t="s">
        <v>130</v>
      </c>
      <c r="F13" s="12">
        <v>432</v>
      </c>
      <c r="G13" s="16">
        <v>27919</v>
      </c>
      <c r="H13" s="17"/>
      <c r="I13" s="21">
        <f t="shared" si="4"/>
        <v>64.62731481481481</v>
      </c>
      <c r="J13" s="25"/>
      <c r="K13" s="23">
        <v>4856</v>
      </c>
      <c r="L13" s="21">
        <f t="shared" si="1"/>
        <v>11.24074074074074</v>
      </c>
      <c r="M13" s="18">
        <f t="shared" si="2"/>
        <v>0.62448559670781889</v>
      </c>
      <c r="N13" s="8">
        <f t="shared" si="3"/>
        <v>103.48887973640856</v>
      </c>
    </row>
    <row r="14" spans="1:14" x14ac:dyDescent="0.3">
      <c r="A14" s="13" t="s">
        <v>51</v>
      </c>
      <c r="B14" s="14" t="s">
        <v>155</v>
      </c>
      <c r="C14" s="14">
        <v>509507</v>
      </c>
      <c r="D14" s="15">
        <v>7896423420791</v>
      </c>
      <c r="E14" s="14" t="s">
        <v>131</v>
      </c>
      <c r="F14" s="12">
        <v>24</v>
      </c>
      <c r="G14" s="16">
        <v>6204</v>
      </c>
      <c r="H14" s="17"/>
      <c r="I14" s="21">
        <f t="shared" si="4"/>
        <v>258.5</v>
      </c>
      <c r="J14" s="25"/>
      <c r="K14" s="23">
        <v>2175</v>
      </c>
      <c r="L14" s="21">
        <f t="shared" si="1"/>
        <v>90.625</v>
      </c>
      <c r="M14" s="18">
        <f t="shared" si="2"/>
        <v>5.0347222222222223</v>
      </c>
      <c r="N14" s="8">
        <f t="shared" si="3"/>
        <v>51.343448275862066</v>
      </c>
    </row>
    <row r="15" spans="1:14" x14ac:dyDescent="0.3">
      <c r="A15" s="13" t="s">
        <v>51</v>
      </c>
      <c r="B15" s="14" t="s">
        <v>155</v>
      </c>
      <c r="C15" s="14">
        <v>461270</v>
      </c>
      <c r="D15" s="15">
        <v>7896423420456</v>
      </c>
      <c r="E15" s="14" t="s">
        <v>132</v>
      </c>
      <c r="F15" s="12">
        <v>432</v>
      </c>
      <c r="G15" s="16">
        <v>34460</v>
      </c>
      <c r="H15" s="17"/>
      <c r="I15" s="21">
        <f t="shared" si="4"/>
        <v>79.768518518518519</v>
      </c>
      <c r="J15" s="25"/>
      <c r="K15" s="23">
        <v>7147</v>
      </c>
      <c r="L15" s="21">
        <f t="shared" si="1"/>
        <v>16.543981481481481</v>
      </c>
      <c r="M15" s="18">
        <f t="shared" si="2"/>
        <v>0.91911008230452673</v>
      </c>
      <c r="N15" s="8">
        <f t="shared" si="3"/>
        <v>86.788862459773327</v>
      </c>
    </row>
    <row r="16" spans="1:14" x14ac:dyDescent="0.3">
      <c r="A16" s="13" t="s">
        <v>51</v>
      </c>
      <c r="B16" s="14" t="s">
        <v>155</v>
      </c>
      <c r="C16" s="14">
        <v>846864</v>
      </c>
      <c r="D16" s="15">
        <v>7896423419276</v>
      </c>
      <c r="E16" s="14" t="s">
        <v>133</v>
      </c>
      <c r="F16" s="12">
        <v>288</v>
      </c>
      <c r="G16" s="16">
        <v>26120</v>
      </c>
      <c r="H16" s="17"/>
      <c r="I16" s="21">
        <f t="shared" si="4"/>
        <v>90.694444444444443</v>
      </c>
      <c r="J16" s="25"/>
      <c r="K16" s="23">
        <v>6976</v>
      </c>
      <c r="L16" s="21">
        <f t="shared" si="1"/>
        <v>24.222222222222221</v>
      </c>
      <c r="M16" s="18">
        <f t="shared" si="2"/>
        <v>1.345679012345679</v>
      </c>
      <c r="N16" s="8">
        <f t="shared" si="3"/>
        <v>67.396788990825684</v>
      </c>
    </row>
    <row r="17" spans="1:14" x14ac:dyDescent="0.3">
      <c r="A17" s="13" t="s">
        <v>51</v>
      </c>
      <c r="B17" s="14" t="s">
        <v>155</v>
      </c>
      <c r="C17" s="14">
        <v>1440217</v>
      </c>
      <c r="D17" s="15">
        <v>7896423483178</v>
      </c>
      <c r="E17" s="14" t="s">
        <v>134</v>
      </c>
      <c r="F17" s="12">
        <v>0</v>
      </c>
      <c r="G17" s="16">
        <v>40</v>
      </c>
      <c r="H17" s="17"/>
      <c r="I17" s="21">
        <v>0</v>
      </c>
      <c r="J17" s="25"/>
      <c r="K17" s="23">
        <v>4</v>
      </c>
      <c r="L17" s="21" t="e">
        <f t="shared" si="1"/>
        <v>#DIV/0!</v>
      </c>
      <c r="M17" s="18" t="e">
        <f t="shared" si="2"/>
        <v>#DIV/0!</v>
      </c>
      <c r="N17" s="8"/>
    </row>
    <row r="18" spans="1:14" x14ac:dyDescent="0.3">
      <c r="A18" s="13" t="s">
        <v>51</v>
      </c>
      <c r="B18" s="14" t="s">
        <v>155</v>
      </c>
      <c r="C18" s="14">
        <v>1570650</v>
      </c>
      <c r="D18" s="15">
        <v>7896423403503</v>
      </c>
      <c r="E18" s="14" t="s">
        <v>135</v>
      </c>
      <c r="F18" s="12">
        <v>0</v>
      </c>
      <c r="G18" s="16">
        <v>171</v>
      </c>
      <c r="H18" s="17"/>
      <c r="I18" s="21">
        <v>0</v>
      </c>
      <c r="J18" s="25"/>
      <c r="K18" s="23">
        <v>22</v>
      </c>
      <c r="L18" s="21" t="e">
        <f t="shared" si="1"/>
        <v>#DIV/0!</v>
      </c>
      <c r="M18" s="18" t="e">
        <f t="shared" si="2"/>
        <v>#DIV/0!</v>
      </c>
      <c r="N18" s="8"/>
    </row>
    <row r="19" spans="1:14" x14ac:dyDescent="0.3">
      <c r="A19" s="13" t="s">
        <v>80</v>
      </c>
      <c r="B19" s="14" t="s">
        <v>155</v>
      </c>
      <c r="C19" s="14">
        <v>502545</v>
      </c>
      <c r="D19" s="15">
        <v>7896029027585</v>
      </c>
      <c r="E19" s="14" t="s">
        <v>94</v>
      </c>
      <c r="F19" s="12">
        <v>24</v>
      </c>
      <c r="G19" s="16">
        <v>1133</v>
      </c>
      <c r="H19" s="17"/>
      <c r="I19" s="21">
        <f t="shared" si="4"/>
        <v>47.208333333333336</v>
      </c>
      <c r="J19" s="25"/>
      <c r="K19" s="22">
        <v>318</v>
      </c>
      <c r="L19" s="21">
        <f t="shared" si="1"/>
        <v>13.25</v>
      </c>
      <c r="M19" s="18">
        <f t="shared" si="2"/>
        <v>0.73611111111111116</v>
      </c>
      <c r="N19" s="8">
        <f t="shared" si="3"/>
        <v>64.132075471698116</v>
      </c>
    </row>
    <row r="20" spans="1:14" x14ac:dyDescent="0.3">
      <c r="A20" s="13" t="s">
        <v>80</v>
      </c>
      <c r="B20" s="14" t="s">
        <v>155</v>
      </c>
      <c r="C20" s="14">
        <v>502537</v>
      </c>
      <c r="D20" s="15">
        <v>7896029027592</v>
      </c>
      <c r="E20" s="14" t="s">
        <v>95</v>
      </c>
      <c r="F20" s="12">
        <f>F19</f>
        <v>24</v>
      </c>
      <c r="G20" s="16">
        <v>1156</v>
      </c>
      <c r="H20" s="17"/>
      <c r="I20" s="21">
        <f t="shared" si="4"/>
        <v>48.166666666666664</v>
      </c>
      <c r="J20" s="25"/>
      <c r="K20" s="22">
        <v>335</v>
      </c>
      <c r="L20" s="21">
        <f t="shared" si="1"/>
        <v>13.958333333333334</v>
      </c>
      <c r="M20" s="18">
        <f t="shared" si="2"/>
        <v>0.77546296296296302</v>
      </c>
      <c r="N20" s="8">
        <f t="shared" si="3"/>
        <v>62.113432835820888</v>
      </c>
    </row>
    <row r="21" spans="1:14" x14ac:dyDescent="0.3">
      <c r="A21" s="13" t="s">
        <v>80</v>
      </c>
      <c r="B21" s="14" t="s">
        <v>155</v>
      </c>
      <c r="C21" s="14">
        <v>502529</v>
      </c>
      <c r="D21" s="15">
        <v>7896029027608</v>
      </c>
      <c r="E21" s="14" t="s">
        <v>96</v>
      </c>
      <c r="F21" s="12">
        <f>F19</f>
        <v>24</v>
      </c>
      <c r="G21" s="16">
        <v>1216</v>
      </c>
      <c r="H21" s="17"/>
      <c r="I21" s="21">
        <f t="shared" si="4"/>
        <v>50.666666666666664</v>
      </c>
      <c r="J21" s="25"/>
      <c r="K21" s="22">
        <v>164</v>
      </c>
      <c r="L21" s="21">
        <f t="shared" si="1"/>
        <v>6.833333333333333</v>
      </c>
      <c r="M21" s="18">
        <f t="shared" si="2"/>
        <v>0.37962962962962959</v>
      </c>
      <c r="N21" s="8">
        <f t="shared" si="3"/>
        <v>133.46341463414635</v>
      </c>
    </row>
    <row r="22" spans="1:14" x14ac:dyDescent="0.3">
      <c r="A22" s="13" t="s">
        <v>80</v>
      </c>
      <c r="B22" s="14" t="s">
        <v>155</v>
      </c>
      <c r="C22" s="14">
        <v>105694</v>
      </c>
      <c r="D22" s="15">
        <v>7896029027233</v>
      </c>
      <c r="E22" s="14" t="s">
        <v>97</v>
      </c>
      <c r="F22" s="12">
        <v>12</v>
      </c>
      <c r="G22" s="16">
        <v>680</v>
      </c>
      <c r="H22" s="17">
        <v>576</v>
      </c>
      <c r="I22" s="21">
        <f>576/F22</f>
        <v>48</v>
      </c>
      <c r="J22" s="25"/>
      <c r="K22" s="22">
        <v>104</v>
      </c>
      <c r="L22" s="21">
        <f t="shared" si="1"/>
        <v>8.6666666666666661</v>
      </c>
      <c r="M22" s="18">
        <f t="shared" si="2"/>
        <v>0.48148148148148145</v>
      </c>
      <c r="N22" s="8">
        <f t="shared" si="3"/>
        <v>99.692307692307693</v>
      </c>
    </row>
    <row r="23" spans="1:14" x14ac:dyDescent="0.3">
      <c r="A23" s="13" t="s">
        <v>80</v>
      </c>
      <c r="B23" s="14" t="s">
        <v>155</v>
      </c>
      <c r="C23" s="14">
        <v>1210246</v>
      </c>
      <c r="D23" s="15">
        <v>7896003968408</v>
      </c>
      <c r="E23" s="14" t="s">
        <v>98</v>
      </c>
      <c r="F23" s="12">
        <v>12</v>
      </c>
      <c r="G23" s="16">
        <v>732</v>
      </c>
      <c r="H23" s="17">
        <v>1104</v>
      </c>
      <c r="I23" s="21">
        <f>1836/12</f>
        <v>153</v>
      </c>
      <c r="J23" s="25"/>
      <c r="K23" s="22">
        <v>189</v>
      </c>
      <c r="L23" s="21">
        <f t="shared" si="1"/>
        <v>15.75</v>
      </c>
      <c r="M23" s="18">
        <f t="shared" si="2"/>
        <v>0.875</v>
      </c>
      <c r="N23" s="8">
        <f t="shared" si="3"/>
        <v>174.85714285714286</v>
      </c>
    </row>
    <row r="24" spans="1:14" x14ac:dyDescent="0.3">
      <c r="A24" s="13" t="s">
        <v>80</v>
      </c>
      <c r="B24" s="14" t="s">
        <v>155</v>
      </c>
      <c r="C24" s="14">
        <v>21342</v>
      </c>
      <c r="D24" s="15">
        <v>7896029027240</v>
      </c>
      <c r="E24" s="14" t="s">
        <v>99</v>
      </c>
      <c r="F24" s="12">
        <v>12</v>
      </c>
      <c r="G24" s="16">
        <v>606</v>
      </c>
      <c r="H24" s="17">
        <v>912</v>
      </c>
      <c r="I24" s="21">
        <f>1518/12</f>
        <v>126.5</v>
      </c>
      <c r="J24" s="25"/>
      <c r="K24" s="22">
        <v>117</v>
      </c>
      <c r="L24" s="21">
        <f t="shared" si="1"/>
        <v>9.75</v>
      </c>
      <c r="M24" s="18">
        <f t="shared" si="2"/>
        <v>0.54166666666666663</v>
      </c>
      <c r="N24" s="8">
        <f t="shared" si="3"/>
        <v>233.53846153846155</v>
      </c>
    </row>
    <row r="25" spans="1:14" x14ac:dyDescent="0.3">
      <c r="A25" s="13" t="s">
        <v>80</v>
      </c>
      <c r="B25" s="14" t="s">
        <v>155</v>
      </c>
      <c r="C25" s="14">
        <v>21385</v>
      </c>
      <c r="D25" s="15">
        <v>7896029027226</v>
      </c>
      <c r="E25" s="14" t="s">
        <v>100</v>
      </c>
      <c r="F25" s="12">
        <v>12</v>
      </c>
      <c r="G25" s="16">
        <v>599</v>
      </c>
      <c r="H25" s="17">
        <v>120</v>
      </c>
      <c r="I25" s="21">
        <f>719/12</f>
        <v>59.916666666666664</v>
      </c>
      <c r="J25" s="25"/>
      <c r="K25" s="22">
        <v>320</v>
      </c>
      <c r="L25" s="21">
        <f t="shared" si="1"/>
        <v>26.666666666666668</v>
      </c>
      <c r="M25" s="18">
        <f t="shared" si="2"/>
        <v>1.4814814814814816</v>
      </c>
      <c r="N25" s="8">
        <f t="shared" si="3"/>
        <v>40.443749999999994</v>
      </c>
    </row>
    <row r="26" spans="1:14" x14ac:dyDescent="0.3">
      <c r="A26" s="13" t="s">
        <v>80</v>
      </c>
      <c r="B26" s="14" t="s">
        <v>155</v>
      </c>
      <c r="C26" s="14">
        <v>474142</v>
      </c>
      <c r="D26" s="15">
        <v>7896029027547</v>
      </c>
      <c r="E26" s="14" t="s">
        <v>101</v>
      </c>
      <c r="F26" s="12">
        <v>12</v>
      </c>
      <c r="G26" s="16">
        <v>661</v>
      </c>
      <c r="H26" s="17">
        <v>204</v>
      </c>
      <c r="I26" s="21">
        <f>865/12</f>
        <v>72.083333333333329</v>
      </c>
      <c r="J26" s="25"/>
      <c r="K26" s="22">
        <v>50</v>
      </c>
      <c r="L26" s="21">
        <f t="shared" si="1"/>
        <v>4.166666666666667</v>
      </c>
      <c r="M26" s="18">
        <f t="shared" si="2"/>
        <v>0.23148148148148151</v>
      </c>
      <c r="N26" s="8">
        <f t="shared" si="3"/>
        <v>311.39999999999992</v>
      </c>
    </row>
    <row r="27" spans="1:14" x14ac:dyDescent="0.3">
      <c r="A27" s="13" t="s">
        <v>80</v>
      </c>
      <c r="B27" s="14" t="s">
        <v>155</v>
      </c>
      <c r="C27" s="14">
        <v>345814</v>
      </c>
      <c r="D27" s="15">
        <v>7896029025314</v>
      </c>
      <c r="E27" s="14" t="s">
        <v>136</v>
      </c>
      <c r="F27" s="12">
        <v>12</v>
      </c>
      <c r="G27" s="16">
        <v>713</v>
      </c>
      <c r="H27" s="17"/>
      <c r="I27" s="21">
        <f t="shared" si="4"/>
        <v>59.416666666666664</v>
      </c>
      <c r="J27" s="25"/>
      <c r="K27" s="22">
        <v>76</v>
      </c>
      <c r="L27" s="21">
        <f t="shared" si="1"/>
        <v>6.333333333333333</v>
      </c>
      <c r="M27" s="18">
        <f t="shared" si="2"/>
        <v>0.35185185185185186</v>
      </c>
      <c r="N27" s="8">
        <f t="shared" si="3"/>
        <v>168.86842105263156</v>
      </c>
    </row>
    <row r="28" spans="1:14" x14ac:dyDescent="0.3">
      <c r="A28" s="13" t="s">
        <v>80</v>
      </c>
      <c r="B28" s="14" t="s">
        <v>155</v>
      </c>
      <c r="C28" s="14">
        <v>345857</v>
      </c>
      <c r="D28" s="15">
        <v>7896029025345</v>
      </c>
      <c r="E28" s="14" t="s">
        <v>137</v>
      </c>
      <c r="F28" s="12">
        <v>12</v>
      </c>
      <c r="G28" s="16">
        <v>593</v>
      </c>
      <c r="H28" s="17">
        <v>132</v>
      </c>
      <c r="I28" s="21">
        <f>725/12</f>
        <v>60.416666666666664</v>
      </c>
      <c r="J28" s="25"/>
      <c r="K28" s="22">
        <v>72</v>
      </c>
      <c r="L28" s="21">
        <f t="shared" si="1"/>
        <v>6</v>
      </c>
      <c r="M28" s="18">
        <f t="shared" si="2"/>
        <v>0.33333333333333331</v>
      </c>
      <c r="N28" s="8">
        <f t="shared" si="3"/>
        <v>181.25</v>
      </c>
    </row>
    <row r="29" spans="1:14" x14ac:dyDescent="0.3">
      <c r="A29" s="13" t="s">
        <v>80</v>
      </c>
      <c r="B29" s="14" t="s">
        <v>155</v>
      </c>
      <c r="C29" s="14">
        <v>1249274</v>
      </c>
      <c r="D29" s="15">
        <v>7896003915150</v>
      </c>
      <c r="E29" s="14" t="s">
        <v>85</v>
      </c>
      <c r="F29" s="12">
        <v>12</v>
      </c>
      <c r="G29" s="16">
        <v>862</v>
      </c>
      <c r="H29" s="17"/>
      <c r="I29" s="21">
        <f t="shared" si="4"/>
        <v>71.833333333333329</v>
      </c>
      <c r="J29" s="25"/>
      <c r="K29" s="22">
        <v>133</v>
      </c>
      <c r="L29" s="21">
        <f t="shared" si="1"/>
        <v>11.083333333333334</v>
      </c>
      <c r="M29" s="18">
        <f t="shared" si="2"/>
        <v>0.61574074074074081</v>
      </c>
      <c r="N29" s="8">
        <f t="shared" si="3"/>
        <v>116.66165413533832</v>
      </c>
    </row>
    <row r="30" spans="1:14" x14ac:dyDescent="0.3">
      <c r="A30" s="13" t="s">
        <v>80</v>
      </c>
      <c r="B30" s="14" t="s">
        <v>155</v>
      </c>
      <c r="C30" s="14">
        <v>345822</v>
      </c>
      <c r="D30" s="15">
        <v>7896029025321</v>
      </c>
      <c r="E30" s="14" t="s">
        <v>86</v>
      </c>
      <c r="F30" s="12">
        <v>12</v>
      </c>
      <c r="G30" s="16">
        <v>861</v>
      </c>
      <c r="H30" s="17"/>
      <c r="I30" s="21">
        <f t="shared" si="4"/>
        <v>71.75</v>
      </c>
      <c r="J30" s="25"/>
      <c r="K30" s="22">
        <v>131</v>
      </c>
      <c r="L30" s="21">
        <f t="shared" si="1"/>
        <v>10.916666666666666</v>
      </c>
      <c r="M30" s="18">
        <f t="shared" si="2"/>
        <v>0.6064814814814814</v>
      </c>
      <c r="N30" s="8">
        <f t="shared" si="3"/>
        <v>118.3053435114504</v>
      </c>
    </row>
    <row r="31" spans="1:14" x14ac:dyDescent="0.3">
      <c r="A31" s="13" t="s">
        <v>80</v>
      </c>
      <c r="B31" s="14" t="s">
        <v>155</v>
      </c>
      <c r="C31" s="14">
        <v>1155334</v>
      </c>
      <c r="D31" s="15">
        <v>7896003941524</v>
      </c>
      <c r="E31" s="14" t="s">
        <v>88</v>
      </c>
      <c r="F31" s="12">
        <v>12</v>
      </c>
      <c r="G31" s="16">
        <v>775</v>
      </c>
      <c r="H31" s="17">
        <v>72</v>
      </c>
      <c r="I31" s="21">
        <f>847/12</f>
        <v>70.583333333333329</v>
      </c>
      <c r="J31" s="25"/>
      <c r="K31" s="22">
        <v>167</v>
      </c>
      <c r="L31" s="21">
        <f t="shared" si="1"/>
        <v>13.916666666666666</v>
      </c>
      <c r="M31" s="18">
        <f t="shared" si="2"/>
        <v>0.77314814814814814</v>
      </c>
      <c r="N31" s="8">
        <f t="shared" si="3"/>
        <v>91.293413173652695</v>
      </c>
    </row>
    <row r="32" spans="1:14" x14ac:dyDescent="0.3">
      <c r="A32" s="13" t="s">
        <v>80</v>
      </c>
      <c r="B32" s="14" t="s">
        <v>155</v>
      </c>
      <c r="C32" s="14">
        <v>1249282</v>
      </c>
      <c r="D32" s="15">
        <v>7896003913828</v>
      </c>
      <c r="E32" s="14" t="s">
        <v>89</v>
      </c>
      <c r="F32" s="12">
        <v>12</v>
      </c>
      <c r="G32" s="16">
        <v>653</v>
      </c>
      <c r="H32" s="17">
        <v>600</v>
      </c>
      <c r="I32" s="21">
        <f>1253/12</f>
        <v>104.41666666666667</v>
      </c>
      <c r="J32" s="25"/>
      <c r="K32" s="22">
        <v>190</v>
      </c>
      <c r="L32" s="21">
        <f t="shared" si="1"/>
        <v>15.833333333333334</v>
      </c>
      <c r="M32" s="18">
        <f t="shared" si="2"/>
        <v>0.87962962962962965</v>
      </c>
      <c r="N32" s="8">
        <f t="shared" si="3"/>
        <v>118.70526315789473</v>
      </c>
    </row>
    <row r="33" spans="1:14" x14ac:dyDescent="0.3">
      <c r="A33" s="13" t="s">
        <v>80</v>
      </c>
      <c r="B33" s="14" t="s">
        <v>155</v>
      </c>
      <c r="C33" s="14">
        <v>345865</v>
      </c>
      <c r="D33" s="15">
        <v>7896029025352</v>
      </c>
      <c r="E33" s="14" t="s">
        <v>90</v>
      </c>
      <c r="F33" s="12">
        <v>12</v>
      </c>
      <c r="G33" s="16">
        <v>674</v>
      </c>
      <c r="H33" s="17">
        <v>336</v>
      </c>
      <c r="I33" s="21">
        <f>1010/12</f>
        <v>84.166666666666671</v>
      </c>
      <c r="J33" s="25"/>
      <c r="K33" s="22">
        <v>127</v>
      </c>
      <c r="L33" s="21">
        <f t="shared" si="1"/>
        <v>10.583333333333334</v>
      </c>
      <c r="M33" s="18">
        <f t="shared" si="2"/>
        <v>0.58796296296296302</v>
      </c>
      <c r="N33" s="8">
        <f t="shared" si="3"/>
        <v>143.14960629921259</v>
      </c>
    </row>
    <row r="34" spans="1:14" x14ac:dyDescent="0.3">
      <c r="A34" s="13" t="s">
        <v>80</v>
      </c>
      <c r="B34" s="14" t="s">
        <v>155</v>
      </c>
      <c r="C34" s="14">
        <v>1155342</v>
      </c>
      <c r="D34" s="15">
        <v>7896003941531</v>
      </c>
      <c r="E34" s="14" t="s">
        <v>138</v>
      </c>
      <c r="F34" s="12">
        <v>12</v>
      </c>
      <c r="G34" s="16">
        <v>816</v>
      </c>
      <c r="H34" s="17">
        <v>324</v>
      </c>
      <c r="I34" s="21">
        <f>1140/12</f>
        <v>95</v>
      </c>
      <c r="J34" s="25"/>
      <c r="K34" s="22">
        <v>128</v>
      </c>
      <c r="L34" s="21">
        <f t="shared" si="1"/>
        <v>10.666666666666666</v>
      </c>
      <c r="M34" s="18">
        <f t="shared" si="2"/>
        <v>0.59259259259259256</v>
      </c>
      <c r="N34" s="8">
        <f t="shared" si="3"/>
        <v>160.3125</v>
      </c>
    </row>
    <row r="35" spans="1:14" x14ac:dyDescent="0.3">
      <c r="A35" s="13" t="s">
        <v>80</v>
      </c>
      <c r="B35" s="14" t="s">
        <v>155</v>
      </c>
      <c r="C35" s="14">
        <v>1155326</v>
      </c>
      <c r="D35" s="15">
        <v>7896003941517</v>
      </c>
      <c r="E35" s="14" t="s">
        <v>139</v>
      </c>
      <c r="F35" s="12">
        <v>12</v>
      </c>
      <c r="G35" s="16">
        <v>800</v>
      </c>
      <c r="H35" s="17">
        <v>360</v>
      </c>
      <c r="I35" s="21">
        <f>1160/12</f>
        <v>96.666666666666671</v>
      </c>
      <c r="J35" s="25"/>
      <c r="K35" s="22">
        <v>330</v>
      </c>
      <c r="L35" s="21">
        <f t="shared" si="1"/>
        <v>27.5</v>
      </c>
      <c r="M35" s="18">
        <f t="shared" si="2"/>
        <v>1.5277777777777777</v>
      </c>
      <c r="N35" s="8">
        <f t="shared" si="3"/>
        <v>63.27272727272728</v>
      </c>
    </row>
    <row r="36" spans="1:14" x14ac:dyDescent="0.3">
      <c r="A36" s="13" t="s">
        <v>102</v>
      </c>
      <c r="B36" s="14" t="s">
        <v>155</v>
      </c>
      <c r="C36" s="14">
        <v>1165577</v>
      </c>
      <c r="D36" s="15">
        <v>7896003941609</v>
      </c>
      <c r="E36" s="14" t="s">
        <v>140</v>
      </c>
      <c r="F36" s="12">
        <f>F33</f>
        <v>12</v>
      </c>
      <c r="G36" s="16">
        <v>676</v>
      </c>
      <c r="H36" s="17">
        <v>96</v>
      </c>
      <c r="I36" s="21">
        <f>772/12</f>
        <v>64.333333333333329</v>
      </c>
      <c r="J36" s="25"/>
      <c r="K36" s="22">
        <v>375</v>
      </c>
      <c r="L36" s="21">
        <f t="shared" si="1"/>
        <v>31.25</v>
      </c>
      <c r="M36" s="18">
        <f t="shared" si="2"/>
        <v>1.7361111111111112</v>
      </c>
      <c r="N36" s="8">
        <f t="shared" si="3"/>
        <v>37.055999999999997</v>
      </c>
    </row>
    <row r="37" spans="1:14" x14ac:dyDescent="0.3">
      <c r="A37" s="13" t="s">
        <v>102</v>
      </c>
      <c r="B37" s="14" t="s">
        <v>155</v>
      </c>
      <c r="C37" s="14">
        <v>23183</v>
      </c>
      <c r="D37" s="15">
        <v>7896029030356</v>
      </c>
      <c r="E37" s="14" t="s">
        <v>141</v>
      </c>
      <c r="F37" s="12">
        <v>24</v>
      </c>
      <c r="G37" s="16">
        <v>1392</v>
      </c>
      <c r="H37" s="17">
        <v>48</v>
      </c>
      <c r="I37" s="21">
        <f>1440/24</f>
        <v>60</v>
      </c>
      <c r="J37" s="25"/>
      <c r="K37" s="22">
        <v>375</v>
      </c>
      <c r="L37" s="21">
        <f t="shared" si="1"/>
        <v>15.625</v>
      </c>
      <c r="M37" s="18">
        <f t="shared" si="2"/>
        <v>0.86805555555555558</v>
      </c>
      <c r="N37" s="8">
        <f t="shared" si="3"/>
        <v>69.12</v>
      </c>
    </row>
    <row r="38" spans="1:14" x14ac:dyDescent="0.3">
      <c r="A38" s="13" t="s">
        <v>102</v>
      </c>
      <c r="B38" s="14" t="s">
        <v>155</v>
      </c>
      <c r="C38" s="14">
        <v>1533207</v>
      </c>
      <c r="D38" s="15">
        <v>7896003914863</v>
      </c>
      <c r="E38" s="14" t="s">
        <v>142</v>
      </c>
      <c r="F38" s="12">
        <v>24</v>
      </c>
      <c r="G38" s="16">
        <v>887</v>
      </c>
      <c r="H38" s="17">
        <v>528</v>
      </c>
      <c r="I38" s="21">
        <f>1415/24</f>
        <v>58.958333333333336</v>
      </c>
      <c r="J38" s="25"/>
      <c r="K38" s="22">
        <v>380</v>
      </c>
      <c r="L38" s="21">
        <f t="shared" si="1"/>
        <v>15.833333333333334</v>
      </c>
      <c r="M38" s="18">
        <f t="shared" si="2"/>
        <v>0.87962962962962965</v>
      </c>
      <c r="N38" s="8">
        <f t="shared" si="3"/>
        <v>67.026315789473685</v>
      </c>
    </row>
    <row r="39" spans="1:14" x14ac:dyDescent="0.3">
      <c r="A39" s="13" t="s">
        <v>102</v>
      </c>
      <c r="B39" s="14" t="s">
        <v>155</v>
      </c>
      <c r="C39" s="14">
        <v>1572946</v>
      </c>
      <c r="D39" s="15">
        <v>7896003992892</v>
      </c>
      <c r="E39" s="14" t="s">
        <v>143</v>
      </c>
      <c r="F39" s="12">
        <v>12</v>
      </c>
      <c r="G39" s="16">
        <v>860</v>
      </c>
      <c r="H39" s="17">
        <v>288</v>
      </c>
      <c r="I39" s="21">
        <f>1148/12</f>
        <v>95.666666666666671</v>
      </c>
      <c r="J39" s="25"/>
      <c r="K39" s="22">
        <v>253</v>
      </c>
      <c r="L39" s="21">
        <f t="shared" si="1"/>
        <v>21.083333333333332</v>
      </c>
      <c r="M39" s="18">
        <f t="shared" si="2"/>
        <v>1.1712962962962963</v>
      </c>
      <c r="N39" s="8">
        <f t="shared" si="3"/>
        <v>81.675889328063249</v>
      </c>
    </row>
    <row r="40" spans="1:14" x14ac:dyDescent="0.3">
      <c r="A40" s="13" t="s">
        <v>102</v>
      </c>
      <c r="B40" s="14" t="s">
        <v>155</v>
      </c>
      <c r="C40" s="14">
        <v>1557866</v>
      </c>
      <c r="D40" s="15">
        <v>7896003991086</v>
      </c>
      <c r="E40" s="14" t="s">
        <v>144</v>
      </c>
      <c r="F40" s="12">
        <v>0</v>
      </c>
      <c r="G40" s="16">
        <v>54</v>
      </c>
      <c r="H40" s="17">
        <v>528</v>
      </c>
      <c r="I40" s="21">
        <v>0</v>
      </c>
      <c r="J40" s="25"/>
      <c r="K40" s="22">
        <v>21</v>
      </c>
      <c r="L40" s="21" t="e">
        <f t="shared" si="1"/>
        <v>#DIV/0!</v>
      </c>
      <c r="M40" s="18" t="e">
        <f t="shared" si="2"/>
        <v>#DIV/0!</v>
      </c>
      <c r="N40" s="8" t="e">
        <f t="shared" si="3"/>
        <v>#DIV/0!</v>
      </c>
    </row>
    <row r="41" spans="1:14" x14ac:dyDescent="0.3">
      <c r="A41" s="13" t="s">
        <v>102</v>
      </c>
      <c r="B41" s="14" t="s">
        <v>155</v>
      </c>
      <c r="C41" s="14">
        <v>1165593</v>
      </c>
      <c r="D41" s="15">
        <v>7896003989403</v>
      </c>
      <c r="E41" s="14" t="s">
        <v>145</v>
      </c>
      <c r="F41" s="12">
        <v>12</v>
      </c>
      <c r="G41" s="16">
        <v>504</v>
      </c>
      <c r="H41" s="17">
        <v>72</v>
      </c>
      <c r="I41" s="21">
        <f>576/12</f>
        <v>48</v>
      </c>
      <c r="J41" s="25"/>
      <c r="K41" s="22">
        <v>423</v>
      </c>
      <c r="L41" s="21">
        <f t="shared" si="1"/>
        <v>35.25</v>
      </c>
      <c r="M41" s="18">
        <f t="shared" si="2"/>
        <v>1.9583333333333333</v>
      </c>
      <c r="N41" s="8">
        <f t="shared" si="3"/>
        <v>24.51063829787234</v>
      </c>
    </row>
    <row r="42" spans="1:14" x14ac:dyDescent="0.3">
      <c r="A42" s="13" t="s">
        <v>102</v>
      </c>
      <c r="B42" s="14" t="s">
        <v>155</v>
      </c>
      <c r="C42" s="14">
        <v>1165585</v>
      </c>
      <c r="D42" s="15">
        <v>7896003989137</v>
      </c>
      <c r="E42" s="14" t="s">
        <v>146</v>
      </c>
      <c r="F42" s="12">
        <v>24</v>
      </c>
      <c r="G42" s="16">
        <v>1174</v>
      </c>
      <c r="H42" s="17">
        <v>12</v>
      </c>
      <c r="I42" s="21">
        <f>1186/24</f>
        <v>49.416666666666664</v>
      </c>
      <c r="J42" s="25"/>
      <c r="K42" s="22">
        <v>474</v>
      </c>
      <c r="L42" s="21">
        <f t="shared" si="1"/>
        <v>19.75</v>
      </c>
      <c r="M42" s="18">
        <f t="shared" si="2"/>
        <v>1.0972222222222223</v>
      </c>
      <c r="N42" s="8">
        <f t="shared" si="3"/>
        <v>45.037974683544299</v>
      </c>
    </row>
    <row r="43" spans="1:14" x14ac:dyDescent="0.3">
      <c r="A43" s="13" t="s">
        <v>102</v>
      </c>
      <c r="B43" s="14" t="s">
        <v>155</v>
      </c>
      <c r="C43" s="14">
        <v>1455435</v>
      </c>
      <c r="D43" s="15">
        <v>7896003983142</v>
      </c>
      <c r="E43" s="14" t="s">
        <v>147</v>
      </c>
      <c r="F43" s="12">
        <v>12</v>
      </c>
      <c r="G43" s="16">
        <v>642</v>
      </c>
      <c r="H43" s="17"/>
      <c r="I43" s="21">
        <f t="shared" si="4"/>
        <v>53.5</v>
      </c>
      <c r="J43" s="25"/>
      <c r="K43" s="22">
        <v>327</v>
      </c>
      <c r="L43" s="21">
        <f t="shared" si="1"/>
        <v>27.25</v>
      </c>
      <c r="M43" s="18">
        <f t="shared" si="2"/>
        <v>1.5138888888888888</v>
      </c>
      <c r="N43" s="8">
        <f t="shared" si="3"/>
        <v>35.339449541284402</v>
      </c>
    </row>
    <row r="44" spans="1:14" x14ac:dyDescent="0.3">
      <c r="A44" s="13" t="s">
        <v>102</v>
      </c>
      <c r="B44" s="14" t="s">
        <v>155</v>
      </c>
      <c r="C44" s="14">
        <v>1356950</v>
      </c>
      <c r="D44" s="15">
        <v>7896003951202</v>
      </c>
      <c r="E44" s="14" t="s">
        <v>148</v>
      </c>
      <c r="F44" s="12">
        <v>24</v>
      </c>
      <c r="G44" s="16">
        <v>1239</v>
      </c>
      <c r="H44" s="17">
        <v>300</v>
      </c>
      <c r="I44" s="21">
        <f>1539/24</f>
        <v>64.125</v>
      </c>
      <c r="J44" s="25"/>
      <c r="K44" s="22">
        <v>466</v>
      </c>
      <c r="L44" s="21">
        <f t="shared" si="1"/>
        <v>19.416666666666668</v>
      </c>
      <c r="M44" s="18">
        <f t="shared" si="2"/>
        <v>1.0787037037037037</v>
      </c>
      <c r="N44" s="8">
        <f t="shared" si="3"/>
        <v>59.446351931330469</v>
      </c>
    </row>
    <row r="45" spans="1:14" x14ac:dyDescent="0.3">
      <c r="A45" s="13" t="s">
        <v>102</v>
      </c>
      <c r="B45" s="14" t="s">
        <v>155</v>
      </c>
      <c r="C45" s="14">
        <v>1221817</v>
      </c>
      <c r="D45" s="15">
        <v>7896003976076</v>
      </c>
      <c r="E45" s="14" t="s">
        <v>149</v>
      </c>
      <c r="F45" s="12">
        <v>30</v>
      </c>
      <c r="G45" s="16">
        <v>1656</v>
      </c>
      <c r="H45" s="17">
        <v>336</v>
      </c>
      <c r="I45" s="21">
        <f>1992/30</f>
        <v>66.400000000000006</v>
      </c>
      <c r="J45" s="25"/>
      <c r="K45" s="22">
        <v>517</v>
      </c>
      <c r="L45" s="21">
        <f t="shared" si="1"/>
        <v>17.233333333333334</v>
      </c>
      <c r="M45" s="18">
        <f t="shared" si="2"/>
        <v>0.95740740740740748</v>
      </c>
      <c r="N45" s="8">
        <f t="shared" si="3"/>
        <v>69.353965183752422</v>
      </c>
    </row>
    <row r="46" spans="1:14" x14ac:dyDescent="0.3">
      <c r="A46" s="13" t="s">
        <v>102</v>
      </c>
      <c r="B46" s="14" t="s">
        <v>155</v>
      </c>
      <c r="C46" s="14">
        <v>23019</v>
      </c>
      <c r="D46" s="15">
        <v>7896029002049</v>
      </c>
      <c r="E46" s="14" t="s">
        <v>150</v>
      </c>
      <c r="F46" s="12">
        <v>30</v>
      </c>
      <c r="G46" s="16">
        <v>1096</v>
      </c>
      <c r="H46" s="17">
        <v>312</v>
      </c>
      <c r="I46" s="21">
        <f>1408/30</f>
        <v>46.93333333333333</v>
      </c>
      <c r="J46" s="25"/>
      <c r="K46" s="22">
        <v>295</v>
      </c>
      <c r="L46" s="21">
        <f t="shared" si="1"/>
        <v>9.8333333333333339</v>
      </c>
      <c r="M46" s="18">
        <f t="shared" si="2"/>
        <v>0.54629629629629628</v>
      </c>
      <c r="N46" s="8">
        <f t="shared" si="3"/>
        <v>85.911864406779657</v>
      </c>
    </row>
    <row r="47" spans="1:14" x14ac:dyDescent="0.3">
      <c r="A47" s="13" t="s">
        <v>102</v>
      </c>
      <c r="B47" s="14" t="s">
        <v>155</v>
      </c>
      <c r="C47" s="14">
        <v>1175866</v>
      </c>
      <c r="D47" s="15">
        <v>7896003926989</v>
      </c>
      <c r="E47" s="14" t="s">
        <v>151</v>
      </c>
      <c r="F47" s="12">
        <v>12</v>
      </c>
      <c r="G47" s="16">
        <v>681</v>
      </c>
      <c r="H47" s="17">
        <v>264</v>
      </c>
      <c r="I47" s="21">
        <f>945/12</f>
        <v>78.75</v>
      </c>
      <c r="J47" s="25"/>
      <c r="K47" s="22">
        <v>122</v>
      </c>
      <c r="L47" s="21">
        <f t="shared" si="1"/>
        <v>10.166666666666666</v>
      </c>
      <c r="M47" s="18">
        <f t="shared" si="2"/>
        <v>0.56481481481481477</v>
      </c>
      <c r="N47" s="8">
        <f t="shared" si="3"/>
        <v>139.42622950819674</v>
      </c>
    </row>
    <row r="48" spans="1:14" x14ac:dyDescent="0.3">
      <c r="A48" s="13" t="s">
        <v>102</v>
      </c>
      <c r="B48" s="14" t="s">
        <v>155</v>
      </c>
      <c r="C48" s="14">
        <v>12319</v>
      </c>
      <c r="D48" s="15">
        <v>7896029003039</v>
      </c>
      <c r="E48" s="14" t="s">
        <v>152</v>
      </c>
      <c r="F48" s="12">
        <v>30</v>
      </c>
      <c r="G48" s="16">
        <v>3962</v>
      </c>
      <c r="H48" s="17">
        <v>600</v>
      </c>
      <c r="I48" s="21">
        <f>4532/30</f>
        <v>151.06666666666666</v>
      </c>
      <c r="J48" s="25"/>
      <c r="K48" s="22">
        <v>1959</v>
      </c>
      <c r="L48" s="21">
        <f t="shared" si="1"/>
        <v>65.3</v>
      </c>
      <c r="M48" s="18">
        <f t="shared" si="2"/>
        <v>3.6277777777777778</v>
      </c>
      <c r="N48" s="8">
        <f t="shared" si="3"/>
        <v>41.641653905053595</v>
      </c>
    </row>
    <row r="49" spans="1:14" x14ac:dyDescent="0.3">
      <c r="A49" s="13" t="s">
        <v>102</v>
      </c>
      <c r="B49" s="14" t="s">
        <v>155</v>
      </c>
      <c r="C49" s="14">
        <v>12360</v>
      </c>
      <c r="D49" s="15">
        <v>7896029003206</v>
      </c>
      <c r="E49" s="14" t="s">
        <v>153</v>
      </c>
      <c r="F49" s="12">
        <v>30</v>
      </c>
      <c r="G49" s="16">
        <v>4172</v>
      </c>
      <c r="H49" s="17"/>
      <c r="I49" s="21">
        <f t="shared" si="4"/>
        <v>139.06666666666666</v>
      </c>
      <c r="J49" s="25"/>
      <c r="K49" s="22">
        <v>1294</v>
      </c>
      <c r="L49" s="21">
        <f t="shared" si="1"/>
        <v>43.133333333333333</v>
      </c>
      <c r="M49" s="18">
        <f t="shared" si="2"/>
        <v>2.3962962962962964</v>
      </c>
      <c r="N49" s="8">
        <f t="shared" si="3"/>
        <v>58.034003091190108</v>
      </c>
    </row>
    <row r="50" spans="1:14" x14ac:dyDescent="0.3">
      <c r="A50" s="13" t="s">
        <v>102</v>
      </c>
      <c r="B50" s="14" t="s">
        <v>155</v>
      </c>
      <c r="C50" s="14">
        <v>12351</v>
      </c>
      <c r="D50" s="15">
        <v>7896029020999</v>
      </c>
      <c r="E50" s="14" t="s">
        <v>154</v>
      </c>
      <c r="F50" s="12">
        <v>30</v>
      </c>
      <c r="G50" s="16">
        <v>1630</v>
      </c>
      <c r="H50" s="27">
        <v>504</v>
      </c>
      <c r="I50" s="8">
        <f>2134/30</f>
        <v>71.13333333333334</v>
      </c>
      <c r="J50" s="26"/>
      <c r="K50" s="22">
        <v>669</v>
      </c>
      <c r="L50" s="21">
        <f t="shared" si="1"/>
        <v>22.3</v>
      </c>
      <c r="M50" s="18">
        <f t="shared" si="2"/>
        <v>1.2388888888888889</v>
      </c>
      <c r="N50" s="8">
        <f t="shared" si="3"/>
        <v>57.417040358744401</v>
      </c>
    </row>
  </sheetData>
  <mergeCells count="1">
    <mergeCell ref="J1:J50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Plan1</vt:lpstr>
      <vt:lpstr>DOH</vt:lpstr>
      <vt:lpstr>Plan3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AdolfoR</dc:creator>
  <cp:lastModifiedBy>Martins, Neusa</cp:lastModifiedBy>
  <dcterms:created xsi:type="dcterms:W3CDTF">2017-05-22T18:48:23Z</dcterms:created>
  <dcterms:modified xsi:type="dcterms:W3CDTF">2017-07-19T20:26:46Z</dcterms:modified>
</cp:coreProperties>
</file>